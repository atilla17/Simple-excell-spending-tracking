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ccounting Project\"/>
    </mc:Choice>
  </mc:AlternateContent>
  <xr:revisionPtr revIDLastSave="0" documentId="13_ncr:1_{7152FEFA-A50E-48B0-BED0-2D3EED101B6A}" xr6:coauthVersionLast="47" xr6:coauthVersionMax="47" xr10:uidLastSave="{00000000-0000-0000-0000-000000000000}"/>
  <bookViews>
    <workbookView xWindow="-120" yWindow="-120" windowWidth="29040" windowHeight="15840" activeTab="2" xr2:uid="{EC66E17C-DBC7-4DA2-AC83-A935C8441D4C}"/>
  </bookViews>
  <sheets>
    <sheet name="Summary" sheetId="7" r:id="rId1"/>
    <sheet name="Settings" sheetId="2" r:id="rId2"/>
    <sheet name="Main" sheetId="1" r:id="rId3"/>
    <sheet name="2022-2" sheetId="9" r:id="rId4"/>
    <sheet name="2022-1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5" i="9" l="1"/>
  <c r="C50" i="9"/>
  <c r="B48" i="9"/>
  <c r="B53" i="9" s="1"/>
  <c r="B54" i="9" s="1"/>
  <c r="C47" i="9"/>
  <c r="D47" i="9" s="1"/>
  <c r="C46" i="9"/>
  <c r="D46" i="9" s="1"/>
  <c r="D45" i="9"/>
  <c r="C45" i="9"/>
  <c r="C44" i="9"/>
  <c r="D44" i="9" s="1"/>
  <c r="C43" i="9"/>
  <c r="D43" i="9" s="1"/>
  <c r="C42" i="9"/>
  <c r="D42" i="9" s="1"/>
  <c r="D41" i="9"/>
  <c r="C41" i="9"/>
  <c r="C40" i="9"/>
  <c r="D40" i="9" s="1"/>
  <c r="C39" i="9"/>
  <c r="D39" i="9" s="1"/>
  <c r="C38" i="9"/>
  <c r="C48" i="9" s="1"/>
  <c r="B36" i="9"/>
  <c r="C35" i="9"/>
  <c r="D35" i="9" s="1"/>
  <c r="C34" i="9"/>
  <c r="D34" i="9" s="1"/>
  <c r="C33" i="9"/>
  <c r="D33" i="9" s="1"/>
  <c r="D32" i="9"/>
  <c r="C32" i="9"/>
  <c r="C31" i="9"/>
  <c r="D31" i="9" s="1"/>
  <c r="C30" i="9"/>
  <c r="D30" i="9" s="1"/>
  <c r="C29" i="9"/>
  <c r="D29" i="9" s="1"/>
  <c r="D28" i="9"/>
  <c r="C28" i="9"/>
  <c r="C27" i="9"/>
  <c r="C36" i="9" s="1"/>
  <c r="B25" i="9"/>
  <c r="D24" i="9"/>
  <c r="C24" i="9"/>
  <c r="C23" i="9"/>
  <c r="D23" i="9" s="1"/>
  <c r="C22" i="9"/>
  <c r="D22" i="9" s="1"/>
  <c r="C21" i="9"/>
  <c r="D21" i="9" s="1"/>
  <c r="D20" i="9"/>
  <c r="C20" i="9"/>
  <c r="C19" i="9"/>
  <c r="D19" i="9" s="1"/>
  <c r="C18" i="9"/>
  <c r="D18" i="9" s="1"/>
  <c r="C17" i="9"/>
  <c r="D17" i="9" s="1"/>
  <c r="D16" i="9"/>
  <c r="C16" i="9"/>
  <c r="C15" i="9"/>
  <c r="D15" i="9" s="1"/>
  <c r="C14" i="9"/>
  <c r="D14" i="9" s="1"/>
  <c r="C13" i="9"/>
  <c r="D13" i="9" s="1"/>
  <c r="D12" i="9"/>
  <c r="C12" i="9"/>
  <c r="C11" i="9"/>
  <c r="D11" i="9" s="1"/>
  <c r="C10" i="9"/>
  <c r="D10" i="9" s="1"/>
  <c r="C9" i="9"/>
  <c r="D9" i="9" s="1"/>
  <c r="D8" i="9"/>
  <c r="C8" i="9"/>
  <c r="C7" i="9"/>
  <c r="D7" i="9" s="1"/>
  <c r="C6" i="9"/>
  <c r="D6" i="9" s="1"/>
  <c r="C5" i="9"/>
  <c r="C25" i="9" s="1"/>
  <c r="G55" i="8"/>
  <c r="C50" i="8"/>
  <c r="B48" i="8"/>
  <c r="B53" i="8" s="1"/>
  <c r="B54" i="8" s="1"/>
  <c r="D47" i="8"/>
  <c r="C47" i="8"/>
  <c r="D46" i="8"/>
  <c r="C46" i="8"/>
  <c r="C45" i="8"/>
  <c r="D45" i="8" s="1"/>
  <c r="D44" i="8"/>
  <c r="C44" i="8"/>
  <c r="D43" i="8"/>
  <c r="C43" i="8"/>
  <c r="D42" i="8"/>
  <c r="C42" i="8"/>
  <c r="C41" i="8"/>
  <c r="D41" i="8" s="1"/>
  <c r="D40" i="8"/>
  <c r="C40" i="8"/>
  <c r="D39" i="8"/>
  <c r="C39" i="8"/>
  <c r="C48" i="8" s="1"/>
  <c r="D38" i="8"/>
  <c r="C38" i="8"/>
  <c r="B36" i="8"/>
  <c r="C35" i="8"/>
  <c r="D35" i="8" s="1"/>
  <c r="D34" i="8"/>
  <c r="C34" i="8"/>
  <c r="C33" i="8"/>
  <c r="D33" i="8" s="1"/>
  <c r="C32" i="8"/>
  <c r="D32" i="8" s="1"/>
  <c r="C31" i="8"/>
  <c r="D31" i="8" s="1"/>
  <c r="D30" i="8"/>
  <c r="C30" i="8"/>
  <c r="C29" i="8"/>
  <c r="D29" i="8" s="1"/>
  <c r="C28" i="8"/>
  <c r="D28" i="8" s="1"/>
  <c r="C27" i="8"/>
  <c r="D27" i="8" s="1"/>
  <c r="B25" i="8"/>
  <c r="C24" i="8"/>
  <c r="D24" i="8" s="1"/>
  <c r="D23" i="8"/>
  <c r="C23" i="8"/>
  <c r="C22" i="8"/>
  <c r="D22" i="8" s="1"/>
  <c r="D21" i="8"/>
  <c r="C21" i="8"/>
  <c r="C20" i="8"/>
  <c r="D20" i="8" s="1"/>
  <c r="D19" i="8"/>
  <c r="C19" i="8"/>
  <c r="C18" i="8"/>
  <c r="D18" i="8" s="1"/>
  <c r="D17" i="8"/>
  <c r="C17" i="8"/>
  <c r="C16" i="8"/>
  <c r="D16" i="8" s="1"/>
  <c r="D15" i="8"/>
  <c r="C15" i="8"/>
  <c r="C14" i="8"/>
  <c r="D14" i="8" s="1"/>
  <c r="D13" i="8"/>
  <c r="C13" i="8"/>
  <c r="C12" i="8"/>
  <c r="D12" i="8" s="1"/>
  <c r="D11" i="8"/>
  <c r="C11" i="8"/>
  <c r="C10" i="8"/>
  <c r="D10" i="8" s="1"/>
  <c r="D9" i="8"/>
  <c r="C9" i="8"/>
  <c r="C8" i="8"/>
  <c r="D8" i="8" s="1"/>
  <c r="D7" i="8"/>
  <c r="C7" i="8"/>
  <c r="C6" i="8"/>
  <c r="D6" i="8" s="1"/>
  <c r="D5" i="8"/>
  <c r="C5" i="8"/>
  <c r="C25" i="8" s="1"/>
  <c r="G55" i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38" i="1"/>
  <c r="D38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27" i="1"/>
  <c r="D27" i="1" s="1"/>
  <c r="B25" i="1"/>
  <c r="C5" i="1"/>
  <c r="D5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6" i="1"/>
  <c r="D6" i="1" s="1"/>
  <c r="C50" i="1"/>
  <c r="D50" i="1" s="1"/>
  <c r="B48" i="1"/>
  <c r="B36" i="1"/>
  <c r="B51" i="9" l="1"/>
  <c r="B55" i="9"/>
  <c r="D50" i="9"/>
  <c r="D5" i="9"/>
  <c r="D25" i="9" s="1"/>
  <c r="D38" i="9"/>
  <c r="D48" i="9" s="1"/>
  <c r="D27" i="9"/>
  <c r="D36" i="9" s="1"/>
  <c r="D48" i="8"/>
  <c r="D25" i="8"/>
  <c r="B55" i="8"/>
  <c r="D36" i="8"/>
  <c r="C36" i="8"/>
  <c r="B51" i="8" s="1"/>
  <c r="D50" i="8"/>
  <c r="B53" i="1"/>
  <c r="D25" i="1"/>
  <c r="D48" i="1"/>
  <c r="C25" i="1"/>
  <c r="D36" i="1"/>
  <c r="C36" i="1"/>
  <c r="C48" i="1"/>
  <c r="B52" i="9" l="1"/>
  <c r="B52" i="8"/>
  <c r="B55" i="1"/>
  <c r="B54" i="1"/>
  <c r="B51" i="1"/>
  <c r="B52" i="1"/>
</calcChain>
</file>

<file path=xl/sharedStrings.xml><?xml version="1.0" encoding="utf-8"?>
<sst xmlns="http://schemas.openxmlformats.org/spreadsheetml/2006/main" count="233" uniqueCount="55">
  <si>
    <t>HST</t>
  </si>
  <si>
    <t>Materials</t>
  </si>
  <si>
    <t>Direct Wage Costs - WSIB</t>
  </si>
  <si>
    <t>Other Costs</t>
  </si>
  <si>
    <t>Advertising</t>
  </si>
  <si>
    <t>Meals &amp; Entertainment</t>
  </si>
  <si>
    <t>Insurance</t>
  </si>
  <si>
    <t>Interest &amp; Bank Fees</t>
  </si>
  <si>
    <t>Business Fees, Licences, Memberships, Subscription</t>
  </si>
  <si>
    <t>Office (Stationary)</t>
  </si>
  <si>
    <t>Postage, Delivery &amp; Courier Services</t>
  </si>
  <si>
    <t>Supplies </t>
  </si>
  <si>
    <t>Work Clothes</t>
  </si>
  <si>
    <t>Tools</t>
  </si>
  <si>
    <t>Legal, Accounting &amp; Other Professional Fees</t>
  </si>
  <si>
    <t>Equipment Maintenance &amp; Repairs</t>
  </si>
  <si>
    <t>Travel &amp; Accomodation</t>
  </si>
  <si>
    <t>Mobile Phone, Internet, Website</t>
  </si>
  <si>
    <t>Private health Plan</t>
  </si>
  <si>
    <t>Capital Purchases</t>
  </si>
  <si>
    <t>Auto Expenses</t>
  </si>
  <si>
    <t>Fuel</t>
  </si>
  <si>
    <t>Interest on car loan</t>
  </si>
  <si>
    <t>Auto Insurance</t>
  </si>
  <si>
    <t>Licence Plate</t>
  </si>
  <si>
    <t>Car Maintenance &amp; Repairs</t>
  </si>
  <si>
    <t>Car Wash</t>
  </si>
  <si>
    <t>CCA Membership</t>
  </si>
  <si>
    <t>Business Parking Fees</t>
  </si>
  <si>
    <t>407- ETR</t>
  </si>
  <si>
    <t>Business-use-of-home</t>
  </si>
  <si>
    <t>Percentage of your home used as an office</t>
  </si>
  <si>
    <t>Heat</t>
  </si>
  <si>
    <t>Hydro</t>
  </si>
  <si>
    <t>Home insurance</t>
  </si>
  <si>
    <t>Maintenance &amp; Repairs or Condominium fees</t>
  </si>
  <si>
    <t>Mortage Interest</t>
  </si>
  <si>
    <t>Rent or Property Taxes</t>
  </si>
  <si>
    <t>Water</t>
  </si>
  <si>
    <t>Home Phone</t>
  </si>
  <si>
    <t>Home Security</t>
  </si>
  <si>
    <t>Subcontract</t>
  </si>
  <si>
    <t>General Expenses</t>
  </si>
  <si>
    <t>Taxed Ammount</t>
  </si>
  <si>
    <t>Totals</t>
  </si>
  <si>
    <t>Subtotal</t>
  </si>
  <si>
    <t>Taxes</t>
  </si>
  <si>
    <t>Grand Total</t>
  </si>
  <si>
    <t>Month</t>
  </si>
  <si>
    <t>Year</t>
  </si>
  <si>
    <t>Income</t>
  </si>
  <si>
    <t>Business payments</t>
  </si>
  <si>
    <t>Net income</t>
  </si>
  <si>
    <t>Gross</t>
  </si>
  <si>
    <t>Before HST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</si>
</sst>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 tint="4.9989318521683403E-2"/>
      <name val="Arial"/>
      <family val="2"/>
    </font>
    <font>
      <sz val="8"/>
      <color theme="1" tint="4.9989318521683403E-2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1"/>
      <color theme="1" tint="4.9989318521683403E-2"/>
      <name val="Arial"/>
      <family val="2"/>
    </font>
    <font>
      <sz val="11"/>
      <color theme="0"/>
      <name val="Arial"/>
      <family val="2"/>
    </font>
    <font>
      <b/>
      <sz val="18"/>
      <color theme="1" tint="4.9989318521683403E-2"/>
      <name val="Arial"/>
      <family val="2"/>
    </font>
    <font>
      <sz val="14"/>
      <color theme="1" tint="4.9989318521683403E-2"/>
      <name val="Arial"/>
      <family val="2"/>
    </font>
    <font>
      <b/>
      <sz val="18"/>
      <color theme="1"/>
      <name val="Arial"/>
      <family val="2"/>
    </font>
    <font>
      <sz val="14"/>
      <color theme="1"/>
      <name val="Arial"/>
      <family val="2"/>
    </font>
    <font>
      <sz val="22"/>
      <color theme="1"/>
      <name val="Arial"/>
      <family val="2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CAFC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14" fontId="0" fillId="0" borderId="0" xfId="0" applyNumberFormat="1"/>
    <xf numFmtId="0" fontId="1" fillId="5" borderId="4" xfId="0" applyFont="1" applyFill="1" applyBorder="1"/>
    <xf numFmtId="0" fontId="1" fillId="5" borderId="3" xfId="0" applyFont="1" applyFill="1" applyBorder="1"/>
    <xf numFmtId="0" fontId="1" fillId="5" borderId="5" xfId="0" applyFont="1" applyFill="1" applyBorder="1"/>
    <xf numFmtId="0" fontId="1" fillId="3" borderId="2" xfId="0" applyFont="1" applyFill="1" applyBorder="1"/>
    <xf numFmtId="0" fontId="1" fillId="3" borderId="1" xfId="0" applyFont="1" applyFill="1" applyBorder="1"/>
    <xf numFmtId="0" fontId="1" fillId="3" borderId="6" xfId="0" applyFont="1" applyFill="1" applyBorder="1"/>
    <xf numFmtId="0" fontId="2" fillId="2" borderId="2" xfId="0" applyFont="1" applyFill="1" applyBorder="1"/>
    <xf numFmtId="164" fontId="6" fillId="2" borderId="1" xfId="0" applyNumberFormat="1" applyFont="1" applyFill="1" applyBorder="1" applyAlignment="1">
      <alignment horizontal="left"/>
    </xf>
    <xf numFmtId="164" fontId="6" fillId="2" borderId="1" xfId="0" applyNumberFormat="1" applyFont="1" applyFill="1" applyBorder="1" applyAlignment="1">
      <alignment horizontal="left" vertical="center"/>
    </xf>
    <xf numFmtId="4" fontId="2" fillId="2" borderId="1" xfId="0" applyNumberFormat="1" applyFont="1" applyFill="1" applyBorder="1" applyAlignment="1">
      <alignment horizontal="right"/>
    </xf>
    <xf numFmtId="4" fontId="2" fillId="2" borderId="6" xfId="0" applyNumberFormat="1" applyFont="1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2" fillId="2" borderId="6" xfId="0" applyFont="1" applyFill="1" applyBorder="1" applyAlignment="1">
      <alignment horizontal="right"/>
    </xf>
    <xf numFmtId="0" fontId="8" fillId="6" borderId="2" xfId="0" applyFont="1" applyFill="1" applyBorder="1"/>
    <xf numFmtId="164" fontId="9" fillId="6" borderId="1" xfId="0" applyNumberFormat="1" applyFont="1" applyFill="1" applyBorder="1" applyAlignment="1">
      <alignment horizontal="left"/>
    </xf>
    <xf numFmtId="0" fontId="2" fillId="6" borderId="1" xfId="0" applyFont="1" applyFill="1" applyBorder="1" applyAlignment="1">
      <alignment horizontal="right"/>
    </xf>
    <xf numFmtId="4" fontId="2" fillId="6" borderId="6" xfId="0" applyNumberFormat="1" applyFont="1" applyFill="1" applyBorder="1" applyAlignment="1">
      <alignment horizontal="right"/>
    </xf>
    <xf numFmtId="0" fontId="4" fillId="3" borderId="2" xfId="0" applyFont="1" applyFill="1" applyBorder="1" applyAlignment="1">
      <alignment horizontal="center"/>
    </xf>
    <xf numFmtId="164" fontId="7" fillId="3" borderId="1" xfId="0" applyNumberFormat="1" applyFont="1" applyFill="1" applyBorder="1" applyAlignment="1">
      <alignment horizontal="left" vertical="center"/>
    </xf>
    <xf numFmtId="164" fontId="6" fillId="3" borderId="1" xfId="0" applyNumberFormat="1" applyFont="1" applyFill="1" applyBorder="1" applyAlignment="1">
      <alignment horizontal="left"/>
    </xf>
    <xf numFmtId="164" fontId="7" fillId="3" borderId="1" xfId="0" applyNumberFormat="1" applyFont="1" applyFill="1" applyBorder="1" applyAlignment="1">
      <alignment horizontal="left"/>
    </xf>
    <xf numFmtId="0" fontId="5" fillId="3" borderId="1" xfId="0" applyFont="1" applyFill="1" applyBorder="1"/>
    <xf numFmtId="0" fontId="5" fillId="3" borderId="6" xfId="0" applyFont="1" applyFill="1" applyBorder="1"/>
    <xf numFmtId="164" fontId="9" fillId="6" borderId="1" xfId="0" applyNumberFormat="1" applyFont="1" applyFill="1" applyBorder="1" applyAlignment="1">
      <alignment horizontal="left" vertical="center"/>
    </xf>
    <xf numFmtId="0" fontId="3" fillId="2" borderId="2" xfId="0" applyFont="1" applyFill="1" applyBorder="1"/>
    <xf numFmtId="0" fontId="2" fillId="2" borderId="1" xfId="0" applyFont="1" applyFill="1" applyBorder="1"/>
    <xf numFmtId="0" fontId="2" fillId="2" borderId="6" xfId="0" applyFont="1" applyFill="1" applyBorder="1"/>
    <xf numFmtId="0" fontId="10" fillId="6" borderId="7" xfId="0" applyFont="1" applyFill="1" applyBorder="1"/>
    <xf numFmtId="164" fontId="11" fillId="6" borderId="8" xfId="0" applyNumberFormat="1" applyFont="1" applyFill="1" applyBorder="1" applyAlignment="1">
      <alignment horizontal="left"/>
    </xf>
    <xf numFmtId="0" fontId="0" fillId="6" borderId="8" xfId="0" applyFill="1" applyBorder="1"/>
    <xf numFmtId="0" fontId="0" fillId="6" borderId="9" xfId="0" applyFill="1" applyBorder="1"/>
    <xf numFmtId="0" fontId="10" fillId="7" borderId="1" xfId="0" applyFont="1" applyFill="1" applyBorder="1"/>
    <xf numFmtId="164" fontId="6" fillId="8" borderId="1" xfId="0" applyNumberFormat="1" applyFont="1" applyFill="1" applyBorder="1" applyAlignment="1" applyProtection="1">
      <alignment horizontal="left"/>
      <protection locked="0"/>
    </xf>
    <xf numFmtId="164" fontId="6" fillId="8" borderId="1" xfId="0" applyNumberFormat="1" applyFont="1" applyFill="1" applyBorder="1" applyAlignment="1" applyProtection="1">
      <alignment horizontal="left" vertical="center"/>
      <protection locked="0"/>
    </xf>
    <xf numFmtId="164" fontId="6" fillId="9" borderId="1" xfId="0" applyNumberFormat="1" applyFont="1" applyFill="1" applyBorder="1" applyAlignment="1" applyProtection="1">
      <alignment horizontal="left" vertical="center"/>
      <protection locked="0"/>
    </xf>
    <xf numFmtId="164" fontId="6" fillId="4" borderId="1" xfId="0" applyNumberFormat="1" applyFont="1" applyFill="1" applyBorder="1" applyAlignment="1" applyProtection="1">
      <alignment horizontal="left" vertical="center"/>
      <protection locked="0"/>
    </xf>
    <xf numFmtId="0" fontId="14" fillId="10" borderId="0" xfId="0" applyFont="1" applyFill="1" applyAlignment="1">
      <alignment horizontal="center" vertical="center"/>
    </xf>
    <xf numFmtId="0" fontId="0" fillId="10" borderId="0" xfId="0" applyFill="1"/>
    <xf numFmtId="1" fontId="14" fillId="10" borderId="0" xfId="0" applyNumberFormat="1" applyFont="1" applyFill="1" applyAlignment="1">
      <alignment horizontal="center" vertical="center"/>
    </xf>
    <xf numFmtId="0" fontId="14" fillId="10" borderId="0" xfId="0" applyNumberFormat="1" applyFont="1" applyFill="1" applyAlignment="1">
      <alignment horizontal="center" vertical="center"/>
    </xf>
    <xf numFmtId="164" fontId="15" fillId="3" borderId="1" xfId="0" applyNumberFormat="1" applyFont="1" applyFill="1" applyBorder="1" applyAlignment="1">
      <alignment horizontal="left" vertical="center"/>
    </xf>
    <xf numFmtId="164" fontId="6" fillId="4" borderId="8" xfId="0" applyNumberFormat="1" applyFont="1" applyFill="1" applyBorder="1" applyAlignment="1" applyProtection="1">
      <alignment horizontal="left" vertical="center"/>
      <protection locked="0"/>
    </xf>
    <xf numFmtId="164" fontId="6" fillId="2" borderId="8" xfId="0" applyNumberFormat="1" applyFont="1" applyFill="1" applyBorder="1" applyAlignment="1">
      <alignment horizontal="left"/>
    </xf>
    <xf numFmtId="0" fontId="2" fillId="2" borderId="8" xfId="0" applyFont="1" applyFill="1" applyBorder="1" applyAlignment="1">
      <alignment horizontal="right"/>
    </xf>
    <xf numFmtId="0" fontId="2" fillId="2" borderId="9" xfId="0" applyFont="1" applyFill="1" applyBorder="1" applyAlignment="1">
      <alignment horizontal="right"/>
    </xf>
    <xf numFmtId="164" fontId="6" fillId="3" borderId="8" xfId="0" applyNumberFormat="1" applyFont="1" applyFill="1" applyBorder="1" applyAlignment="1" applyProtection="1">
      <alignment horizontal="left" vertical="center"/>
      <protection locked="0"/>
    </xf>
    <xf numFmtId="0" fontId="2" fillId="3" borderId="8" xfId="0" applyFont="1" applyFill="1" applyBorder="1" applyAlignment="1">
      <alignment horizontal="right"/>
    </xf>
    <xf numFmtId="0" fontId="2" fillId="3" borderId="9" xfId="0" applyFont="1" applyFill="1" applyBorder="1" applyAlignment="1">
      <alignment horizontal="right"/>
    </xf>
    <xf numFmtId="0" fontId="16" fillId="2" borderId="7" xfId="0" applyFont="1" applyFill="1" applyBorder="1"/>
    <xf numFmtId="0" fontId="17" fillId="3" borderId="7" xfId="0" applyFont="1" applyFill="1" applyBorder="1" applyAlignment="1">
      <alignment horizontal="center" vertical="center"/>
    </xf>
    <xf numFmtId="164" fontId="18" fillId="3" borderId="8" xfId="0" applyNumberFormat="1" applyFont="1" applyFill="1" applyBorder="1" applyAlignment="1">
      <alignment horizontal="left"/>
    </xf>
    <xf numFmtId="164" fontId="7" fillId="3" borderId="8" xfId="0" applyNumberFormat="1" applyFont="1" applyFill="1" applyBorder="1" applyAlignment="1">
      <alignment horizontal="left"/>
    </xf>
    <xf numFmtId="164" fontId="0" fillId="0" borderId="0" xfId="0" applyNumberFormat="1"/>
    <xf numFmtId="0" fontId="10" fillId="7" borderId="0" xfId="0" applyFont="1" applyFill="1" applyBorder="1"/>
    <xf numFmtId="164" fontId="6" fillId="11" borderId="8" xfId="0" applyNumberFormat="1" applyFont="1" applyFill="1" applyBorder="1" applyAlignment="1">
      <alignment horizontal="left"/>
    </xf>
    <xf numFmtId="0" fontId="12" fillId="12" borderId="0" xfId="0" applyFont="1" applyFill="1" applyAlignment="1">
      <alignment horizontal="left" vertical="center"/>
    </xf>
    <xf numFmtId="0" fontId="10" fillId="4" borderId="0" xfId="0" applyFont="1" applyFill="1" applyBorder="1"/>
    <xf numFmtId="164" fontId="19" fillId="3" borderId="8" xfId="0" applyNumberFormat="1" applyFont="1" applyFill="1" applyBorder="1" applyAlignment="1">
      <alignment horizontal="left"/>
    </xf>
    <xf numFmtId="164" fontId="15" fillId="3" borderId="8" xfId="0" applyNumberFormat="1" applyFont="1" applyFill="1" applyBorder="1" applyAlignment="1">
      <alignment horizontal="left"/>
    </xf>
    <xf numFmtId="0" fontId="16" fillId="13" borderId="7" xfId="0" applyFont="1" applyFill="1" applyBorder="1"/>
    <xf numFmtId="164" fontId="6" fillId="13" borderId="8" xfId="0" applyNumberFormat="1" applyFont="1" applyFill="1" applyBorder="1" applyAlignment="1">
      <alignment horizontal="left"/>
    </xf>
    <xf numFmtId="0" fontId="2" fillId="13" borderId="8" xfId="0" applyFont="1" applyFill="1" applyBorder="1" applyAlignment="1">
      <alignment horizontal="right"/>
    </xf>
    <xf numFmtId="0" fontId="2" fillId="13" borderId="9" xfId="0" applyFont="1" applyFill="1" applyBorder="1" applyAlignment="1">
      <alignment horizontal="right"/>
    </xf>
    <xf numFmtId="164" fontId="15" fillId="3" borderId="1" xfId="0" applyNumberFormat="1" applyFont="1" applyFill="1" applyBorder="1" applyAlignment="1">
      <alignment horizontal="left"/>
    </xf>
    <xf numFmtId="164" fontId="12" fillId="7" borderId="10" xfId="0" applyNumberFormat="1" applyFont="1" applyFill="1" applyBorder="1" applyAlignment="1">
      <alignment horizontal="left" vertical="center"/>
    </xf>
    <xf numFmtId="164" fontId="12" fillId="12" borderId="0" xfId="0" applyNumberFormat="1" applyFont="1" applyFill="1" applyAlignment="1">
      <alignment horizontal="left" vertical="top"/>
    </xf>
    <xf numFmtId="164" fontId="12" fillId="7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A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3</xdr:col>
          <xdr:colOff>933450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0</xdr:rowOff>
        </xdr:from>
        <xdr:to>
          <xdr:col>5</xdr:col>
          <xdr:colOff>590550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37EB5-A680-4464-822B-C9638F4CBF2E}">
  <sheetPr codeName="Sheet4"/>
  <dimension ref="C1:I53"/>
  <sheetViews>
    <sheetView workbookViewId="0">
      <selection activeCell="A12" sqref="A12"/>
    </sheetView>
  </sheetViews>
  <sheetFormatPr defaultRowHeight="15" x14ac:dyDescent="0.25"/>
  <cols>
    <col min="1" max="1" width="15" customWidth="1"/>
    <col min="2" max="2" width="7" customWidth="1"/>
    <col min="3" max="3" width="0.28515625" customWidth="1"/>
    <col min="4" max="4" width="47.7109375" customWidth="1"/>
    <col min="5" max="5" width="29.42578125" customWidth="1"/>
    <col min="6" max="6" width="17.85546875" customWidth="1"/>
    <col min="7" max="7" width="18" customWidth="1"/>
  </cols>
  <sheetData>
    <row r="1" spans="3:9" x14ac:dyDescent="0.25">
      <c r="C1" t="b">
        <v>1</v>
      </c>
      <c r="D1" s="2"/>
      <c r="E1" s="3" t="s">
        <v>43</v>
      </c>
      <c r="F1" s="3" t="s">
        <v>45</v>
      </c>
      <c r="G1" s="3" t="s">
        <v>0</v>
      </c>
      <c r="H1" s="3"/>
      <c r="I1" s="4"/>
    </row>
    <row r="2" spans="3:9" x14ac:dyDescent="0.25">
      <c r="C2" t="b">
        <v>1</v>
      </c>
      <c r="D2" s="5" t="s">
        <v>42</v>
      </c>
      <c r="E2" s="6"/>
      <c r="F2" s="6"/>
      <c r="G2" s="6"/>
      <c r="H2" s="6"/>
      <c r="I2" s="7"/>
    </row>
    <row r="3" spans="3:9" x14ac:dyDescent="0.25">
      <c r="C3" t="b">
        <v>1</v>
      </c>
      <c r="D3" s="8" t="s">
        <v>1</v>
      </c>
      <c r="E3" s="34">
        <v>0</v>
      </c>
      <c r="F3" s="9">
        <v>0</v>
      </c>
      <c r="G3" s="10">
        <v>0</v>
      </c>
      <c r="H3" s="11"/>
      <c r="I3" s="12"/>
    </row>
    <row r="4" spans="3:9" x14ac:dyDescent="0.25">
      <c r="C4" t="b">
        <v>1</v>
      </c>
      <c r="D4" s="8" t="s">
        <v>2</v>
      </c>
      <c r="E4" s="35">
        <v>0</v>
      </c>
      <c r="F4" s="9">
        <v>0</v>
      </c>
      <c r="G4" s="10">
        <v>0</v>
      </c>
      <c r="H4" s="13"/>
      <c r="I4" s="12"/>
    </row>
    <row r="5" spans="3:9" x14ac:dyDescent="0.25">
      <c r="C5" t="b">
        <v>1</v>
      </c>
      <c r="D5" s="8" t="s">
        <v>41</v>
      </c>
      <c r="E5" s="35">
        <v>0</v>
      </c>
      <c r="F5" s="9">
        <v>0</v>
      </c>
      <c r="G5" s="10">
        <v>0</v>
      </c>
      <c r="H5" s="13"/>
      <c r="I5" s="12"/>
    </row>
    <row r="6" spans="3:9" x14ac:dyDescent="0.25">
      <c r="D6" s="8" t="s">
        <v>3</v>
      </c>
      <c r="E6" s="35">
        <v>0</v>
      </c>
      <c r="F6" s="9">
        <v>0</v>
      </c>
      <c r="G6" s="10">
        <v>0</v>
      </c>
      <c r="H6" s="13"/>
      <c r="I6" s="14"/>
    </row>
    <row r="7" spans="3:9" x14ac:dyDescent="0.25">
      <c r="D7" s="8" t="s">
        <v>4</v>
      </c>
      <c r="E7" s="35">
        <v>0</v>
      </c>
      <c r="F7" s="9">
        <v>0</v>
      </c>
      <c r="G7" s="10">
        <v>0</v>
      </c>
      <c r="H7" s="13"/>
      <c r="I7" s="14"/>
    </row>
    <row r="8" spans="3:9" x14ac:dyDescent="0.25">
      <c r="D8" s="8" t="s">
        <v>5</v>
      </c>
      <c r="E8" s="35">
        <v>0</v>
      </c>
      <c r="F8" s="9">
        <v>0</v>
      </c>
      <c r="G8" s="10">
        <v>0</v>
      </c>
      <c r="H8" s="13"/>
      <c r="I8" s="14"/>
    </row>
    <row r="9" spans="3:9" x14ac:dyDescent="0.25">
      <c r="D9" s="8" t="s">
        <v>6</v>
      </c>
      <c r="E9" s="35">
        <v>0</v>
      </c>
      <c r="F9" s="9">
        <v>0</v>
      </c>
      <c r="G9" s="10">
        <v>0</v>
      </c>
      <c r="H9" s="13"/>
      <c r="I9" s="12"/>
    </row>
    <row r="10" spans="3:9" x14ac:dyDescent="0.25">
      <c r="D10" s="8" t="s">
        <v>7</v>
      </c>
      <c r="E10" s="35">
        <v>0</v>
      </c>
      <c r="F10" s="9">
        <v>0</v>
      </c>
      <c r="G10" s="10">
        <v>0</v>
      </c>
      <c r="H10" s="13"/>
      <c r="I10" s="14"/>
    </row>
    <row r="11" spans="3:9" x14ac:dyDescent="0.25">
      <c r="D11" s="8" t="s">
        <v>8</v>
      </c>
      <c r="E11" s="35">
        <v>0</v>
      </c>
      <c r="F11" s="9">
        <v>0</v>
      </c>
      <c r="G11" s="10">
        <v>0</v>
      </c>
      <c r="H11" s="13"/>
      <c r="I11" s="14"/>
    </row>
    <row r="12" spans="3:9" x14ac:dyDescent="0.25">
      <c r="D12" s="8" t="s">
        <v>9</v>
      </c>
      <c r="E12" s="35">
        <v>0</v>
      </c>
      <c r="F12" s="9">
        <v>0</v>
      </c>
      <c r="G12" s="10">
        <v>0</v>
      </c>
      <c r="H12" s="13"/>
      <c r="I12" s="14"/>
    </row>
    <row r="13" spans="3:9" x14ac:dyDescent="0.25">
      <c r="D13" s="8" t="s">
        <v>10</v>
      </c>
      <c r="E13" s="35">
        <v>0</v>
      </c>
      <c r="F13" s="9">
        <v>0</v>
      </c>
      <c r="G13" s="10">
        <v>0</v>
      </c>
      <c r="H13" s="13"/>
      <c r="I13" s="14"/>
    </row>
    <row r="14" spans="3:9" x14ac:dyDescent="0.25">
      <c r="D14" s="8" t="s">
        <v>11</v>
      </c>
      <c r="E14" s="35">
        <v>0</v>
      </c>
      <c r="F14" s="9">
        <v>0</v>
      </c>
      <c r="G14" s="10">
        <v>0</v>
      </c>
      <c r="H14" s="13"/>
      <c r="I14" s="12"/>
    </row>
    <row r="15" spans="3:9" x14ac:dyDescent="0.25">
      <c r="D15" s="8" t="s">
        <v>12</v>
      </c>
      <c r="E15" s="35">
        <v>0</v>
      </c>
      <c r="F15" s="9">
        <v>0</v>
      </c>
      <c r="G15" s="10">
        <v>0</v>
      </c>
      <c r="H15" s="13"/>
      <c r="I15" s="14"/>
    </row>
    <row r="16" spans="3:9" x14ac:dyDescent="0.25">
      <c r="D16" s="8" t="s">
        <v>13</v>
      </c>
      <c r="E16" s="35">
        <v>0</v>
      </c>
      <c r="F16" s="9">
        <v>0</v>
      </c>
      <c r="G16" s="10">
        <v>0</v>
      </c>
      <c r="H16" s="13"/>
      <c r="I16" s="12"/>
    </row>
    <row r="17" spans="4:9" x14ac:dyDescent="0.25">
      <c r="D17" s="8" t="s">
        <v>14</v>
      </c>
      <c r="E17" s="35">
        <v>0</v>
      </c>
      <c r="F17" s="9">
        <v>0</v>
      </c>
      <c r="G17" s="10">
        <v>0</v>
      </c>
      <c r="H17" s="13"/>
      <c r="I17" s="14"/>
    </row>
    <row r="18" spans="4:9" x14ac:dyDescent="0.25">
      <c r="D18" s="8" t="s">
        <v>15</v>
      </c>
      <c r="E18" s="35">
        <v>0</v>
      </c>
      <c r="F18" s="9">
        <v>0</v>
      </c>
      <c r="G18" s="10">
        <v>0</v>
      </c>
      <c r="H18" s="13"/>
      <c r="I18" s="14"/>
    </row>
    <row r="19" spans="4:9" x14ac:dyDescent="0.25">
      <c r="D19" s="8" t="s">
        <v>16</v>
      </c>
      <c r="E19" s="35">
        <v>0</v>
      </c>
      <c r="F19" s="9">
        <v>0</v>
      </c>
      <c r="G19" s="10">
        <v>0</v>
      </c>
      <c r="H19" s="13"/>
      <c r="I19" s="14"/>
    </row>
    <row r="20" spans="4:9" x14ac:dyDescent="0.25">
      <c r="D20" s="8" t="s">
        <v>17</v>
      </c>
      <c r="E20" s="35">
        <v>0</v>
      </c>
      <c r="F20" s="9">
        <v>0</v>
      </c>
      <c r="G20" s="10">
        <v>0</v>
      </c>
      <c r="H20" s="13"/>
      <c r="I20" s="12"/>
    </row>
    <row r="21" spans="4:9" x14ac:dyDescent="0.25">
      <c r="D21" s="8" t="s">
        <v>18</v>
      </c>
      <c r="E21" s="35">
        <v>0</v>
      </c>
      <c r="F21" s="9">
        <v>0</v>
      </c>
      <c r="G21" s="10">
        <v>0</v>
      </c>
      <c r="H21" s="13"/>
      <c r="I21" s="14"/>
    </row>
    <row r="22" spans="4:9" x14ac:dyDescent="0.25">
      <c r="D22" s="8" t="s">
        <v>19</v>
      </c>
      <c r="E22" s="35">
        <v>0</v>
      </c>
      <c r="F22" s="9">
        <v>0</v>
      </c>
      <c r="G22" s="10">
        <v>0</v>
      </c>
      <c r="H22" s="13"/>
      <c r="I22" s="12"/>
    </row>
    <row r="23" spans="4:9" ht="23.25" x14ac:dyDescent="0.35">
      <c r="D23" s="15" t="s">
        <v>44</v>
      </c>
      <c r="E23" s="16">
        <v>0</v>
      </c>
      <c r="F23" s="16">
        <v>0</v>
      </c>
      <c r="G23" s="16">
        <v>0</v>
      </c>
      <c r="H23" s="17"/>
      <c r="I23" s="18"/>
    </row>
    <row r="24" spans="4:9" x14ac:dyDescent="0.25">
      <c r="D24" s="19" t="s">
        <v>20</v>
      </c>
      <c r="E24" s="42">
        <v>0</v>
      </c>
      <c r="F24" s="65">
        <v>0</v>
      </c>
      <c r="G24" s="65">
        <v>0</v>
      </c>
      <c r="H24" s="23"/>
      <c r="I24" s="24"/>
    </row>
    <row r="25" spans="4:9" x14ac:dyDescent="0.25">
      <c r="D25" s="8" t="s">
        <v>21</v>
      </c>
      <c r="E25" s="36">
        <v>0</v>
      </c>
      <c r="F25" s="9">
        <v>0</v>
      </c>
      <c r="G25" s="9">
        <v>0</v>
      </c>
      <c r="H25" s="13"/>
      <c r="I25" s="12"/>
    </row>
    <row r="26" spans="4:9" x14ac:dyDescent="0.25">
      <c r="D26" s="8" t="s">
        <v>22</v>
      </c>
      <c r="E26" s="36">
        <v>0</v>
      </c>
      <c r="F26" s="9">
        <v>0</v>
      </c>
      <c r="G26" s="9">
        <v>0</v>
      </c>
      <c r="H26" s="13"/>
      <c r="I26" s="14"/>
    </row>
    <row r="27" spans="4:9" x14ac:dyDescent="0.25">
      <c r="D27" s="8" t="s">
        <v>23</v>
      </c>
      <c r="E27" s="36">
        <v>0</v>
      </c>
      <c r="F27" s="9">
        <v>0</v>
      </c>
      <c r="G27" s="9">
        <v>0</v>
      </c>
      <c r="H27" s="13"/>
      <c r="I27" s="12"/>
    </row>
    <row r="28" spans="4:9" x14ac:dyDescent="0.25">
      <c r="D28" s="8" t="s">
        <v>24</v>
      </c>
      <c r="E28" s="36">
        <v>0</v>
      </c>
      <c r="F28" s="9">
        <v>0</v>
      </c>
      <c r="G28" s="9">
        <v>0</v>
      </c>
      <c r="H28" s="13"/>
      <c r="I28" s="14"/>
    </row>
    <row r="29" spans="4:9" x14ac:dyDescent="0.25">
      <c r="D29" s="8" t="s">
        <v>25</v>
      </c>
      <c r="E29" s="36">
        <v>0</v>
      </c>
      <c r="F29" s="9">
        <v>0</v>
      </c>
      <c r="G29" s="9">
        <v>0</v>
      </c>
      <c r="H29" s="13"/>
      <c r="I29" s="14"/>
    </row>
    <row r="30" spans="4:9" x14ac:dyDescent="0.25">
      <c r="D30" s="8" t="s">
        <v>26</v>
      </c>
      <c r="E30" s="36">
        <v>0</v>
      </c>
      <c r="F30" s="9">
        <v>0</v>
      </c>
      <c r="G30" s="9">
        <v>0</v>
      </c>
      <c r="H30" s="13"/>
      <c r="I30" s="14"/>
    </row>
    <row r="31" spans="4:9" x14ac:dyDescent="0.25">
      <c r="D31" s="8" t="s">
        <v>27</v>
      </c>
      <c r="E31" s="36">
        <v>0</v>
      </c>
      <c r="F31" s="9">
        <v>0</v>
      </c>
      <c r="G31" s="9">
        <v>0</v>
      </c>
      <c r="H31" s="13"/>
      <c r="I31" s="14"/>
    </row>
    <row r="32" spans="4:9" x14ac:dyDescent="0.25">
      <c r="D32" s="8" t="s">
        <v>28</v>
      </c>
      <c r="E32" s="36">
        <v>0</v>
      </c>
      <c r="F32" s="9">
        <v>0</v>
      </c>
      <c r="G32" s="9">
        <v>0</v>
      </c>
      <c r="H32" s="13"/>
      <c r="I32" s="14"/>
    </row>
    <row r="33" spans="4:9" x14ac:dyDescent="0.25">
      <c r="D33" s="8" t="s">
        <v>29</v>
      </c>
      <c r="E33" s="36">
        <v>0</v>
      </c>
      <c r="F33" s="9">
        <v>0</v>
      </c>
      <c r="G33" s="9">
        <v>0</v>
      </c>
      <c r="H33" s="13"/>
      <c r="I33" s="12"/>
    </row>
    <row r="34" spans="4:9" ht="23.25" x14ac:dyDescent="0.35">
      <c r="D34" s="15" t="s">
        <v>44</v>
      </c>
      <c r="E34" s="25">
        <v>0</v>
      </c>
      <c r="F34" s="16">
        <v>0</v>
      </c>
      <c r="G34" s="16">
        <v>0</v>
      </c>
      <c r="H34" s="17"/>
      <c r="I34" s="18"/>
    </row>
    <row r="35" spans="4:9" x14ac:dyDescent="0.25">
      <c r="D35" s="19" t="s">
        <v>30</v>
      </c>
      <c r="E35" s="42">
        <v>0</v>
      </c>
      <c r="F35" s="21">
        <v>0</v>
      </c>
      <c r="G35" s="65">
        <v>0</v>
      </c>
      <c r="H35" s="23"/>
      <c r="I35" s="24"/>
    </row>
    <row r="36" spans="4:9" x14ac:dyDescent="0.25">
      <c r="D36" s="26" t="s">
        <v>31</v>
      </c>
      <c r="E36" s="37">
        <v>0</v>
      </c>
      <c r="F36" s="9">
        <v>0</v>
      </c>
      <c r="G36" s="9">
        <v>0</v>
      </c>
      <c r="H36" s="27"/>
      <c r="I36" s="28"/>
    </row>
    <row r="37" spans="4:9" x14ac:dyDescent="0.25">
      <c r="D37" s="8" t="s">
        <v>32</v>
      </c>
      <c r="E37" s="37">
        <v>0</v>
      </c>
      <c r="F37" s="9">
        <v>0</v>
      </c>
      <c r="G37" s="9">
        <v>0</v>
      </c>
      <c r="H37" s="13"/>
      <c r="I37" s="12"/>
    </row>
    <row r="38" spans="4:9" x14ac:dyDescent="0.25">
      <c r="D38" s="8" t="s">
        <v>33</v>
      </c>
      <c r="E38" s="37">
        <v>0</v>
      </c>
      <c r="F38" s="9">
        <v>0</v>
      </c>
      <c r="G38" s="9">
        <v>0</v>
      </c>
      <c r="H38" s="13"/>
      <c r="I38" s="12"/>
    </row>
    <row r="39" spans="4:9" x14ac:dyDescent="0.25">
      <c r="D39" s="8" t="s">
        <v>34</v>
      </c>
      <c r="E39" s="37">
        <v>0</v>
      </c>
      <c r="F39" s="9">
        <v>0</v>
      </c>
      <c r="G39" s="9">
        <v>0</v>
      </c>
      <c r="H39" s="13"/>
      <c r="I39" s="12"/>
    </row>
    <row r="40" spans="4:9" x14ac:dyDescent="0.25">
      <c r="D40" s="8" t="s">
        <v>35</v>
      </c>
      <c r="E40" s="37">
        <v>0</v>
      </c>
      <c r="F40" s="9">
        <v>0</v>
      </c>
      <c r="G40" s="9">
        <v>0</v>
      </c>
      <c r="H40" s="13"/>
      <c r="I40" s="12"/>
    </row>
    <row r="41" spans="4:9" x14ac:dyDescent="0.25">
      <c r="D41" s="8" t="s">
        <v>36</v>
      </c>
      <c r="E41" s="37">
        <v>0</v>
      </c>
      <c r="F41" s="9">
        <v>0</v>
      </c>
      <c r="G41" s="9">
        <v>0</v>
      </c>
      <c r="H41" s="13"/>
      <c r="I41" s="12"/>
    </row>
    <row r="42" spans="4:9" x14ac:dyDescent="0.25">
      <c r="D42" s="8" t="s">
        <v>37</v>
      </c>
      <c r="E42" s="37">
        <v>0</v>
      </c>
      <c r="F42" s="9">
        <v>0</v>
      </c>
      <c r="G42" s="9">
        <v>0</v>
      </c>
      <c r="H42" s="13"/>
      <c r="I42" s="12"/>
    </row>
    <row r="43" spans="4:9" x14ac:dyDescent="0.25">
      <c r="D43" s="8" t="s">
        <v>38</v>
      </c>
      <c r="E43" s="37">
        <v>0</v>
      </c>
      <c r="F43" s="9">
        <v>0</v>
      </c>
      <c r="G43" s="9">
        <v>0</v>
      </c>
      <c r="H43" s="13"/>
      <c r="I43" s="14"/>
    </row>
    <row r="44" spans="4:9" x14ac:dyDescent="0.25">
      <c r="D44" s="8" t="s">
        <v>39</v>
      </c>
      <c r="E44" s="37">
        <v>0</v>
      </c>
      <c r="F44" s="9">
        <v>0</v>
      </c>
      <c r="G44" s="9">
        <v>0</v>
      </c>
      <c r="H44" s="13"/>
      <c r="I44" s="14"/>
    </row>
    <row r="45" spans="4:9" x14ac:dyDescent="0.25">
      <c r="D45" s="8" t="s">
        <v>40</v>
      </c>
      <c r="E45" s="37">
        <v>0</v>
      </c>
      <c r="F45" s="9">
        <v>0</v>
      </c>
      <c r="G45" s="9">
        <v>0</v>
      </c>
      <c r="H45" s="13"/>
      <c r="I45" s="14"/>
    </row>
    <row r="46" spans="4:9" ht="23.25" x14ac:dyDescent="0.35">
      <c r="D46" s="29" t="s">
        <v>44</v>
      </c>
      <c r="E46" s="30">
        <v>0</v>
      </c>
      <c r="F46" s="30">
        <v>0</v>
      </c>
      <c r="G46" s="30">
        <v>0</v>
      </c>
      <c r="H46" s="31"/>
      <c r="I46" s="32"/>
    </row>
    <row r="47" spans="4:9" ht="15.75" x14ac:dyDescent="0.25">
      <c r="D47" s="51" t="s">
        <v>50</v>
      </c>
      <c r="E47" s="47">
        <v>0</v>
      </c>
      <c r="F47" s="59">
        <v>0</v>
      </c>
      <c r="G47" s="60">
        <v>0</v>
      </c>
      <c r="H47" s="48"/>
      <c r="I47" s="49"/>
    </row>
    <row r="48" spans="4:9" x14ac:dyDescent="0.25">
      <c r="D48" s="61" t="s">
        <v>51</v>
      </c>
      <c r="E48" s="43">
        <v>0</v>
      </c>
      <c r="F48" s="62">
        <v>0</v>
      </c>
      <c r="G48" s="56">
        <v>0</v>
      </c>
      <c r="H48" s="63"/>
      <c r="I48" s="64"/>
    </row>
    <row r="49" spans="4:9" ht="27" x14ac:dyDescent="0.35">
      <c r="D49" s="33" t="s">
        <v>45</v>
      </c>
      <c r="E49" s="68">
        <v>0</v>
      </c>
      <c r="F49" s="68"/>
      <c r="G49" s="68"/>
      <c r="H49" s="68"/>
      <c r="I49" s="68"/>
    </row>
    <row r="50" spans="4:9" ht="27" x14ac:dyDescent="0.35">
      <c r="D50" s="33" t="s">
        <v>46</v>
      </c>
      <c r="E50" s="68">
        <v>0</v>
      </c>
      <c r="F50" s="68"/>
      <c r="G50" s="68"/>
      <c r="H50" s="68"/>
      <c r="I50" s="68"/>
    </row>
    <row r="51" spans="4:9" ht="27" x14ac:dyDescent="0.35">
      <c r="D51" s="33" t="s">
        <v>47</v>
      </c>
      <c r="E51" s="68">
        <v>0</v>
      </c>
      <c r="F51" s="68"/>
      <c r="G51" s="68"/>
      <c r="H51" s="68"/>
      <c r="I51" s="68"/>
    </row>
    <row r="52" spans="4:9" ht="27" x14ac:dyDescent="0.35">
      <c r="D52" s="55" t="s">
        <v>53</v>
      </c>
      <c r="E52" s="66">
        <v>0</v>
      </c>
      <c r="F52" s="66"/>
      <c r="G52" s="66"/>
      <c r="H52" s="66"/>
      <c r="I52" s="66"/>
    </row>
    <row r="53" spans="4:9" ht="27" x14ac:dyDescent="0.25">
      <c r="D53" s="57" t="s">
        <v>52</v>
      </c>
      <c r="E53" s="67">
        <v>0</v>
      </c>
      <c r="F53" s="67"/>
      <c r="G53" s="67"/>
      <c r="H53" s="67"/>
      <c r="I53" s="67"/>
    </row>
  </sheetData>
  <dataConsolidate/>
  <mergeCells count="5">
    <mergeCell ref="E52:I52"/>
    <mergeCell ref="E53:I53"/>
    <mergeCell ref="E49:I49"/>
    <mergeCell ref="E50:I50"/>
    <mergeCell ref="E51:I5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EDF2-4EC4-4636-8B53-C3B54B8B7C08}">
  <sheetPr codeName="Sheet2"/>
  <dimension ref="A1:B1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0</v>
      </c>
      <c r="B1">
        <v>0.13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35532-190F-4F8C-8A1D-BB8EF2E683B2}">
  <sheetPr codeName="Sheet1"/>
  <dimension ref="A1:G56"/>
  <sheetViews>
    <sheetView tabSelected="1" topLeftCell="A3" zoomScale="115" zoomScaleNormal="115" workbookViewId="0">
      <selection activeCell="G6" sqref="G6"/>
    </sheetView>
  </sheetViews>
  <sheetFormatPr defaultRowHeight="15" x14ac:dyDescent="0.25"/>
  <cols>
    <col min="1" max="1" width="52.42578125" customWidth="1"/>
    <col min="2" max="2" width="20" customWidth="1"/>
    <col min="3" max="3" width="17" customWidth="1"/>
    <col min="4" max="4" width="16.28515625" customWidth="1"/>
    <col min="6" max="6" width="9" customWidth="1"/>
    <col min="7" max="7" width="118.85546875" customWidth="1"/>
  </cols>
  <sheetData>
    <row r="1" spans="1:7" ht="33.75" customHeight="1" x14ac:dyDescent="0.25">
      <c r="A1" s="38" t="s">
        <v>49</v>
      </c>
      <c r="B1" s="38" t="s">
        <v>48</v>
      </c>
      <c r="C1" s="39"/>
      <c r="D1" s="39"/>
      <c r="E1" s="39"/>
      <c r="F1" s="39"/>
    </row>
    <row r="2" spans="1:7" ht="38.25" customHeight="1" x14ac:dyDescent="0.25">
      <c r="A2" s="40">
        <v>2022</v>
      </c>
      <c r="B2" s="41">
        <v>2</v>
      </c>
      <c r="C2" s="39"/>
      <c r="D2" s="39"/>
      <c r="E2" s="39"/>
      <c r="F2" s="39"/>
    </row>
    <row r="3" spans="1:7" x14ac:dyDescent="0.25">
      <c r="A3" s="2"/>
      <c r="B3" s="3" t="s">
        <v>43</v>
      </c>
      <c r="C3" s="3" t="s">
        <v>45</v>
      </c>
      <c r="D3" s="3" t="s">
        <v>0</v>
      </c>
      <c r="E3" s="3"/>
      <c r="F3" s="4"/>
      <c r="G3" s="1"/>
    </row>
    <row r="4" spans="1:7" x14ac:dyDescent="0.25">
      <c r="A4" s="5" t="s">
        <v>42</v>
      </c>
      <c r="B4" s="6"/>
      <c r="C4" s="6"/>
      <c r="D4" s="6"/>
      <c r="E4" s="6"/>
      <c r="F4" s="7"/>
    </row>
    <row r="5" spans="1:7" x14ac:dyDescent="0.25">
      <c r="A5" s="8" t="s">
        <v>1</v>
      </c>
      <c r="B5" s="34"/>
      <c r="C5" s="9">
        <f>100%/(100%+(Settings!$B$1 * 100)%) *B5</f>
        <v>0</v>
      </c>
      <c r="D5" s="10">
        <f>B5 - C5</f>
        <v>0</v>
      </c>
      <c r="E5" s="11"/>
      <c r="F5" s="12"/>
    </row>
    <row r="6" spans="1:7" x14ac:dyDescent="0.25">
      <c r="A6" s="8" t="s">
        <v>2</v>
      </c>
      <c r="B6" s="35"/>
      <c r="C6" s="9">
        <f>100%/(100%+(Settings!$B$1 * 100)%) *B6</f>
        <v>0</v>
      </c>
      <c r="D6" s="10">
        <f t="shared" ref="D6:D24" si="0">B6 - C6</f>
        <v>0</v>
      </c>
      <c r="E6" s="13"/>
      <c r="F6" s="12"/>
    </row>
    <row r="7" spans="1:7" x14ac:dyDescent="0.25">
      <c r="A7" s="8" t="s">
        <v>41</v>
      </c>
      <c r="B7" s="35"/>
      <c r="C7" s="9">
        <f>100%/(100%+(Settings!$B$1 * 100)%) *B7</f>
        <v>0</v>
      </c>
      <c r="D7" s="10">
        <f t="shared" si="0"/>
        <v>0</v>
      </c>
      <c r="E7" s="13"/>
      <c r="F7" s="12"/>
    </row>
    <row r="8" spans="1:7" x14ac:dyDescent="0.25">
      <c r="A8" s="8" t="s">
        <v>3</v>
      </c>
      <c r="B8" s="35"/>
      <c r="C8" s="9">
        <f>100%/(100%+(Settings!$B$1 * 100)%) *B8</f>
        <v>0</v>
      </c>
      <c r="D8" s="10">
        <f t="shared" si="0"/>
        <v>0</v>
      </c>
      <c r="E8" s="13"/>
      <c r="F8" s="14"/>
    </row>
    <row r="9" spans="1:7" x14ac:dyDescent="0.25">
      <c r="A9" s="8" t="s">
        <v>4</v>
      </c>
      <c r="B9" s="35"/>
      <c r="C9" s="9">
        <f>100%/(100%+(Settings!$B$1 * 100)%) *B9</f>
        <v>0</v>
      </c>
      <c r="D9" s="10">
        <f t="shared" si="0"/>
        <v>0</v>
      </c>
      <c r="E9" s="13"/>
      <c r="F9" s="14"/>
    </row>
    <row r="10" spans="1:7" x14ac:dyDescent="0.25">
      <c r="A10" s="8" t="s">
        <v>5</v>
      </c>
      <c r="B10" s="35"/>
      <c r="C10" s="9">
        <f>100%/(100%+(Settings!$B$1 * 100)%) *B10</f>
        <v>0</v>
      </c>
      <c r="D10" s="10">
        <f t="shared" si="0"/>
        <v>0</v>
      </c>
      <c r="E10" s="13"/>
      <c r="F10" s="14"/>
    </row>
    <row r="11" spans="1:7" x14ac:dyDescent="0.25">
      <c r="A11" s="8" t="s">
        <v>6</v>
      </c>
      <c r="B11" s="35"/>
      <c r="C11" s="9">
        <f>100%/(100%+(Settings!$B$1 * 100)%) *B11</f>
        <v>0</v>
      </c>
      <c r="D11" s="10">
        <f t="shared" si="0"/>
        <v>0</v>
      </c>
      <c r="E11" s="13"/>
      <c r="F11" s="12"/>
    </row>
    <row r="12" spans="1:7" x14ac:dyDescent="0.25">
      <c r="A12" s="8" t="s">
        <v>7</v>
      </c>
      <c r="B12" s="35"/>
      <c r="C12" s="9">
        <f>100%/(100%+(Settings!$B$1 * 100)%) *B12</f>
        <v>0</v>
      </c>
      <c r="D12" s="10">
        <f t="shared" si="0"/>
        <v>0</v>
      </c>
      <c r="E12" s="13"/>
      <c r="F12" s="14"/>
    </row>
    <row r="13" spans="1:7" x14ac:dyDescent="0.25">
      <c r="A13" s="8" t="s">
        <v>8</v>
      </c>
      <c r="B13" s="35"/>
      <c r="C13" s="9">
        <f>100%/(100%+(Settings!$B$1 * 100)%) *B13</f>
        <v>0</v>
      </c>
      <c r="D13" s="10">
        <f t="shared" si="0"/>
        <v>0</v>
      </c>
      <c r="E13" s="13"/>
      <c r="F13" s="14"/>
    </row>
    <row r="14" spans="1:7" x14ac:dyDescent="0.25">
      <c r="A14" s="8" t="s">
        <v>9</v>
      </c>
      <c r="B14" s="35"/>
      <c r="C14" s="9">
        <f>100%/(100%+(Settings!$B$1 * 100)%) *B14</f>
        <v>0</v>
      </c>
      <c r="D14" s="10">
        <f t="shared" si="0"/>
        <v>0</v>
      </c>
      <c r="E14" s="13"/>
      <c r="F14" s="14"/>
    </row>
    <row r="15" spans="1:7" x14ac:dyDescent="0.25">
      <c r="A15" s="8" t="s">
        <v>10</v>
      </c>
      <c r="B15" s="35"/>
      <c r="C15" s="9">
        <f>100%/(100%+(Settings!$B$1 * 100)%) *B15</f>
        <v>0</v>
      </c>
      <c r="D15" s="10">
        <f t="shared" si="0"/>
        <v>0</v>
      </c>
      <c r="E15" s="13"/>
      <c r="F15" s="14"/>
    </row>
    <row r="16" spans="1:7" x14ac:dyDescent="0.25">
      <c r="A16" s="8" t="s">
        <v>11</v>
      </c>
      <c r="B16" s="35"/>
      <c r="C16" s="9">
        <f>100%/(100%+(Settings!$B$1 * 100)%) *B16</f>
        <v>0</v>
      </c>
      <c r="D16" s="10">
        <f t="shared" si="0"/>
        <v>0</v>
      </c>
      <c r="E16" s="13"/>
      <c r="F16" s="12"/>
    </row>
    <row r="17" spans="1:6" x14ac:dyDescent="0.25">
      <c r="A17" s="8" t="s">
        <v>12</v>
      </c>
      <c r="B17" s="35"/>
      <c r="C17" s="9">
        <f>100%/(100%+(Settings!$B$1 * 100)%) *B17</f>
        <v>0</v>
      </c>
      <c r="D17" s="10">
        <f t="shared" si="0"/>
        <v>0</v>
      </c>
      <c r="E17" s="13"/>
      <c r="F17" s="14"/>
    </row>
    <row r="18" spans="1:6" x14ac:dyDescent="0.25">
      <c r="A18" s="8" t="s">
        <v>13</v>
      </c>
      <c r="B18" s="35"/>
      <c r="C18" s="9">
        <f>100%/(100%+(Settings!$B$1 * 100)%) *B18</f>
        <v>0</v>
      </c>
      <c r="D18" s="10">
        <f t="shared" si="0"/>
        <v>0</v>
      </c>
      <c r="E18" s="13"/>
      <c r="F18" s="12"/>
    </row>
    <row r="19" spans="1:6" x14ac:dyDescent="0.25">
      <c r="A19" s="8" t="s">
        <v>14</v>
      </c>
      <c r="B19" s="35"/>
      <c r="C19" s="9">
        <f>100%/(100%+(Settings!$B$1 * 100)%) *B19</f>
        <v>0</v>
      </c>
      <c r="D19" s="10">
        <f t="shared" si="0"/>
        <v>0</v>
      </c>
      <c r="E19" s="13"/>
      <c r="F19" s="14"/>
    </row>
    <row r="20" spans="1:6" x14ac:dyDescent="0.25">
      <c r="A20" s="8" t="s">
        <v>15</v>
      </c>
      <c r="B20" s="35"/>
      <c r="C20" s="9">
        <f>100%/(100%+(Settings!$B$1 * 100)%) *B20</f>
        <v>0</v>
      </c>
      <c r="D20" s="10">
        <f t="shared" si="0"/>
        <v>0</v>
      </c>
      <c r="E20" s="13"/>
      <c r="F20" s="14"/>
    </row>
    <row r="21" spans="1:6" x14ac:dyDescent="0.25">
      <c r="A21" s="8" t="s">
        <v>16</v>
      </c>
      <c r="B21" s="35"/>
      <c r="C21" s="9">
        <f>100%/(100%+(Settings!$B$1 * 100)%) *B21</f>
        <v>0</v>
      </c>
      <c r="D21" s="10">
        <f t="shared" si="0"/>
        <v>0</v>
      </c>
      <c r="E21" s="13"/>
      <c r="F21" s="14"/>
    </row>
    <row r="22" spans="1:6" x14ac:dyDescent="0.25">
      <c r="A22" s="8" t="s">
        <v>17</v>
      </c>
      <c r="B22" s="35"/>
      <c r="C22" s="9">
        <f>100%/(100%+(Settings!$B$1 * 100)%) *B22</f>
        <v>0</v>
      </c>
      <c r="D22" s="10">
        <f t="shared" si="0"/>
        <v>0</v>
      </c>
      <c r="E22" s="13"/>
      <c r="F22" s="12"/>
    </row>
    <row r="23" spans="1:6" x14ac:dyDescent="0.25">
      <c r="A23" s="8" t="s">
        <v>18</v>
      </c>
      <c r="B23" s="35"/>
      <c r="C23" s="9">
        <f>100%/(100%+(Settings!$B$1 * 100)%) *B23</f>
        <v>0</v>
      </c>
      <c r="D23" s="10">
        <f t="shared" si="0"/>
        <v>0</v>
      </c>
      <c r="E23" s="13"/>
      <c r="F23" s="14"/>
    </row>
    <row r="24" spans="1:6" x14ac:dyDescent="0.25">
      <c r="A24" s="8" t="s">
        <v>19</v>
      </c>
      <c r="B24" s="35"/>
      <c r="C24" s="9">
        <f>100%/(100%+(Settings!$B$1 * 100)%) *B24</f>
        <v>0</v>
      </c>
      <c r="D24" s="10">
        <f t="shared" si="0"/>
        <v>0</v>
      </c>
      <c r="E24" s="13"/>
      <c r="F24" s="12"/>
    </row>
    <row r="25" spans="1:6" ht="23.25" x14ac:dyDescent="0.35">
      <c r="A25" s="15" t="s">
        <v>44</v>
      </c>
      <c r="B25" s="16">
        <f>SUM(B5:B24)</f>
        <v>0</v>
      </c>
      <c r="C25" s="16">
        <f>SUM(C5:C24)</f>
        <v>0</v>
      </c>
      <c r="D25" s="16">
        <f>SUM(D5:D24)</f>
        <v>0</v>
      </c>
      <c r="E25" s="17"/>
      <c r="F25" s="18"/>
    </row>
    <row r="26" spans="1:6" x14ac:dyDescent="0.25">
      <c r="A26" s="19" t="s">
        <v>20</v>
      </c>
      <c r="B26" s="20"/>
      <c r="C26" s="21"/>
      <c r="D26" s="22"/>
      <c r="E26" s="23"/>
      <c r="F26" s="24"/>
    </row>
    <row r="27" spans="1:6" x14ac:dyDescent="0.25">
      <c r="A27" s="8" t="s">
        <v>21</v>
      </c>
      <c r="B27" s="36"/>
      <c r="C27" s="9">
        <f>100%/(100%+(Settings!$B$1 * 100)%) *B27</f>
        <v>0</v>
      </c>
      <c r="D27" s="9">
        <f>B27-C27</f>
        <v>0</v>
      </c>
      <c r="E27" s="13"/>
      <c r="F27" s="12"/>
    </row>
    <row r="28" spans="1:6" x14ac:dyDescent="0.25">
      <c r="A28" s="8" t="s">
        <v>22</v>
      </c>
      <c r="B28" s="36"/>
      <c r="C28" s="9">
        <f>100%/(100%+(Settings!$B$1 * 100)%) *B28</f>
        <v>0</v>
      </c>
      <c r="D28" s="9">
        <f t="shared" ref="D28:D35" si="1">B28-C28</f>
        <v>0</v>
      </c>
      <c r="E28" s="13"/>
      <c r="F28" s="14"/>
    </row>
    <row r="29" spans="1:6" x14ac:dyDescent="0.25">
      <c r="A29" s="8" t="s">
        <v>23</v>
      </c>
      <c r="B29" s="36"/>
      <c r="C29" s="9">
        <f>100%/(100%+(Settings!$B$1 * 100)%) *B29</f>
        <v>0</v>
      </c>
      <c r="D29" s="9">
        <f t="shared" si="1"/>
        <v>0</v>
      </c>
      <c r="E29" s="13"/>
      <c r="F29" s="12"/>
    </row>
    <row r="30" spans="1:6" x14ac:dyDescent="0.25">
      <c r="A30" s="8" t="s">
        <v>24</v>
      </c>
      <c r="B30" s="36"/>
      <c r="C30" s="9">
        <f>100%/(100%+(Settings!$B$1 * 100)%) *B30</f>
        <v>0</v>
      </c>
      <c r="D30" s="9">
        <f t="shared" si="1"/>
        <v>0</v>
      </c>
      <c r="E30" s="13"/>
      <c r="F30" s="14"/>
    </row>
    <row r="31" spans="1:6" x14ac:dyDescent="0.25">
      <c r="A31" s="8" t="s">
        <v>25</v>
      </c>
      <c r="B31" s="36"/>
      <c r="C31" s="9">
        <f>100%/(100%+(Settings!$B$1 * 100)%) *B31</f>
        <v>0</v>
      </c>
      <c r="D31" s="9">
        <f t="shared" si="1"/>
        <v>0</v>
      </c>
      <c r="E31" s="13"/>
      <c r="F31" s="14"/>
    </row>
    <row r="32" spans="1:6" x14ac:dyDescent="0.25">
      <c r="A32" s="8" t="s">
        <v>26</v>
      </c>
      <c r="B32" s="36"/>
      <c r="C32" s="9">
        <f>100%/(100%+(Settings!$B$1 * 100)%) *B32</f>
        <v>0</v>
      </c>
      <c r="D32" s="9">
        <f t="shared" si="1"/>
        <v>0</v>
      </c>
      <c r="E32" s="13"/>
      <c r="F32" s="14"/>
    </row>
    <row r="33" spans="1:6" x14ac:dyDescent="0.25">
      <c r="A33" s="8" t="s">
        <v>27</v>
      </c>
      <c r="B33" s="36"/>
      <c r="C33" s="9">
        <f>100%/(100%+(Settings!$B$1 * 100)%) *B33</f>
        <v>0</v>
      </c>
      <c r="D33" s="9">
        <f t="shared" si="1"/>
        <v>0</v>
      </c>
      <c r="E33" s="13"/>
      <c r="F33" s="14"/>
    </row>
    <row r="34" spans="1:6" x14ac:dyDescent="0.25">
      <c r="A34" s="8" t="s">
        <v>28</v>
      </c>
      <c r="B34" s="36"/>
      <c r="C34" s="9">
        <f>100%/(100%+(Settings!$B$1 * 100)%) *B34</f>
        <v>0</v>
      </c>
      <c r="D34" s="9">
        <f t="shared" si="1"/>
        <v>0</v>
      </c>
      <c r="E34" s="13"/>
      <c r="F34" s="14"/>
    </row>
    <row r="35" spans="1:6" x14ac:dyDescent="0.25">
      <c r="A35" s="8" t="s">
        <v>29</v>
      </c>
      <c r="B35" s="36"/>
      <c r="C35" s="9">
        <f>100%/(100%+(Settings!$B$1 * 100)%) *B35</f>
        <v>0</v>
      </c>
      <c r="D35" s="9">
        <f t="shared" si="1"/>
        <v>0</v>
      </c>
      <c r="E35" s="13"/>
      <c r="F35" s="12"/>
    </row>
    <row r="36" spans="1:6" ht="23.25" x14ac:dyDescent="0.35">
      <c r="A36" s="15" t="s">
        <v>44</v>
      </c>
      <c r="B36" s="25">
        <f>SUM(B27:B35)</f>
        <v>0</v>
      </c>
      <c r="C36" s="16">
        <f>SUM(C27:C35)</f>
        <v>0</v>
      </c>
      <c r="D36" s="16">
        <f>SUM(D27:D35)</f>
        <v>0</v>
      </c>
      <c r="E36" s="17"/>
      <c r="F36" s="18"/>
    </row>
    <row r="37" spans="1:6" x14ac:dyDescent="0.25">
      <c r="A37" s="19" t="s">
        <v>30</v>
      </c>
      <c r="B37" s="20"/>
      <c r="C37" s="21"/>
      <c r="D37" s="22"/>
      <c r="E37" s="23"/>
      <c r="F37" s="24"/>
    </row>
    <row r="38" spans="1:6" x14ac:dyDescent="0.25">
      <c r="A38" s="26" t="s">
        <v>31</v>
      </c>
      <c r="B38" s="37"/>
      <c r="C38" s="9">
        <f>100%/(100%+(Settings!$B$1 * 100)%) *B38</f>
        <v>0</v>
      </c>
      <c r="D38" s="9">
        <f>B38-C38</f>
        <v>0</v>
      </c>
      <c r="E38" s="27"/>
      <c r="F38" s="28"/>
    </row>
    <row r="39" spans="1:6" x14ac:dyDescent="0.25">
      <c r="A39" s="8" t="s">
        <v>32</v>
      </c>
      <c r="B39" s="37"/>
      <c r="C39" s="9">
        <f>100%/(100%+(Settings!$B$1 * 100)%) *B39</f>
        <v>0</v>
      </c>
      <c r="D39" s="9">
        <f t="shared" ref="D39:D47" si="2">B39-C39</f>
        <v>0</v>
      </c>
      <c r="E39" s="13"/>
      <c r="F39" s="12"/>
    </row>
    <row r="40" spans="1:6" x14ac:dyDescent="0.25">
      <c r="A40" s="8" t="s">
        <v>33</v>
      </c>
      <c r="B40" s="37"/>
      <c r="C40" s="9">
        <f>100%/(100%+(Settings!$B$1 * 100)%) *B40</f>
        <v>0</v>
      </c>
      <c r="D40" s="9">
        <f t="shared" si="2"/>
        <v>0</v>
      </c>
      <c r="E40" s="13"/>
      <c r="F40" s="12"/>
    </row>
    <row r="41" spans="1:6" x14ac:dyDescent="0.25">
      <c r="A41" s="8" t="s">
        <v>34</v>
      </c>
      <c r="B41" s="37"/>
      <c r="C41" s="9">
        <f>100%/(100%+(Settings!$B$1 * 100)%) *B41</f>
        <v>0</v>
      </c>
      <c r="D41" s="9">
        <f t="shared" si="2"/>
        <v>0</v>
      </c>
      <c r="E41" s="13"/>
      <c r="F41" s="12"/>
    </row>
    <row r="42" spans="1:6" x14ac:dyDescent="0.25">
      <c r="A42" s="8" t="s">
        <v>35</v>
      </c>
      <c r="B42" s="37"/>
      <c r="C42" s="9">
        <f>100%/(100%+(Settings!$B$1 * 100)%) *B42</f>
        <v>0</v>
      </c>
      <c r="D42" s="9">
        <f t="shared" si="2"/>
        <v>0</v>
      </c>
      <c r="E42" s="13"/>
      <c r="F42" s="12"/>
    </row>
    <row r="43" spans="1:6" x14ac:dyDescent="0.25">
      <c r="A43" s="8" t="s">
        <v>36</v>
      </c>
      <c r="B43" s="37"/>
      <c r="C43" s="9">
        <f>100%/(100%+(Settings!$B$1 * 100)%) *B43</f>
        <v>0</v>
      </c>
      <c r="D43" s="9">
        <f t="shared" si="2"/>
        <v>0</v>
      </c>
      <c r="E43" s="13"/>
      <c r="F43" s="12"/>
    </row>
    <row r="44" spans="1:6" x14ac:dyDescent="0.25">
      <c r="A44" s="8" t="s">
        <v>37</v>
      </c>
      <c r="B44" s="37"/>
      <c r="C44" s="9">
        <f>100%/(100%+(Settings!$B$1 * 100)%) *B44</f>
        <v>0</v>
      </c>
      <c r="D44" s="9">
        <f t="shared" si="2"/>
        <v>0</v>
      </c>
      <c r="E44" s="13"/>
      <c r="F44" s="12"/>
    </row>
    <row r="45" spans="1:6" x14ac:dyDescent="0.25">
      <c r="A45" s="8" t="s">
        <v>38</v>
      </c>
      <c r="B45" s="37"/>
      <c r="C45" s="9">
        <f>100%/(100%+(Settings!$B$1 * 100)%) *B45</f>
        <v>0</v>
      </c>
      <c r="D45" s="9">
        <f t="shared" si="2"/>
        <v>0</v>
      </c>
      <c r="E45" s="13"/>
      <c r="F45" s="14"/>
    </row>
    <row r="46" spans="1:6" x14ac:dyDescent="0.25">
      <c r="A46" s="8" t="s">
        <v>39</v>
      </c>
      <c r="B46" s="37"/>
      <c r="C46" s="9">
        <f>100%/(100%+(Settings!$B$1 * 100)%) *B46</f>
        <v>0</v>
      </c>
      <c r="D46" s="9">
        <f t="shared" si="2"/>
        <v>0</v>
      </c>
      <c r="E46" s="13"/>
      <c r="F46" s="14"/>
    </row>
    <row r="47" spans="1:6" ht="18.75" customHeight="1" x14ac:dyDescent="0.25">
      <c r="A47" s="8" t="s">
        <v>40</v>
      </c>
      <c r="B47" s="37"/>
      <c r="C47" s="9">
        <f>100%/(100%+(Settings!$B$1 * 100)%) *B47</f>
        <v>0</v>
      </c>
      <c r="D47" s="9">
        <f t="shared" si="2"/>
        <v>0</v>
      </c>
      <c r="E47" s="13"/>
      <c r="F47" s="14"/>
    </row>
    <row r="48" spans="1:6" ht="25.5" customHeight="1" x14ac:dyDescent="0.35">
      <c r="A48" s="29" t="s">
        <v>44</v>
      </c>
      <c r="B48" s="30">
        <f>SUM(B38:B47)</f>
        <v>0</v>
      </c>
      <c r="C48" s="30">
        <f>SUM(C38:C47)</f>
        <v>0</v>
      </c>
      <c r="D48" s="30">
        <f>SUM(D38:D47)</f>
        <v>0</v>
      </c>
      <c r="E48" s="31"/>
      <c r="F48" s="32"/>
    </row>
    <row r="49" spans="1:7" ht="18.75" customHeight="1" x14ac:dyDescent="0.25">
      <c r="A49" s="51" t="s">
        <v>50</v>
      </c>
      <c r="B49" s="47"/>
      <c r="C49" s="52" t="s">
        <v>54</v>
      </c>
      <c r="D49" s="53" t="s">
        <v>0</v>
      </c>
      <c r="E49" s="48"/>
      <c r="F49" s="49"/>
    </row>
    <row r="50" spans="1:7" ht="18.75" customHeight="1" x14ac:dyDescent="0.25">
      <c r="A50" s="50" t="s">
        <v>51</v>
      </c>
      <c r="B50" s="43"/>
      <c r="C50" s="44">
        <f>100%/(100%+(Settings!B1 * 100)%) * B50</f>
        <v>0</v>
      </c>
      <c r="D50" s="56">
        <f>B50 - C50</f>
        <v>0</v>
      </c>
      <c r="E50" s="45"/>
      <c r="F50" s="46"/>
    </row>
    <row r="51" spans="1:7" ht="30.75" customHeight="1" x14ac:dyDescent="0.35">
      <c r="A51" s="33" t="s">
        <v>45</v>
      </c>
      <c r="B51" s="68">
        <f xml:space="preserve"> C25+C36+C48</f>
        <v>0</v>
      </c>
      <c r="C51" s="68"/>
      <c r="D51" s="68"/>
      <c r="E51" s="68"/>
      <c r="F51" s="68"/>
    </row>
    <row r="52" spans="1:7" ht="25.5" customHeight="1" x14ac:dyDescent="0.35">
      <c r="A52" s="33" t="s">
        <v>46</v>
      </c>
      <c r="B52" s="68">
        <f xml:space="preserve"> D25+D36+D48</f>
        <v>0</v>
      </c>
      <c r="C52" s="68"/>
      <c r="D52" s="68"/>
      <c r="E52" s="68"/>
      <c r="F52" s="68"/>
    </row>
    <row r="53" spans="1:7" ht="25.5" customHeight="1" x14ac:dyDescent="0.35">
      <c r="A53" s="33" t="s">
        <v>47</v>
      </c>
      <c r="B53" s="68">
        <f xml:space="preserve"> B48+B36+B25</f>
        <v>0</v>
      </c>
      <c r="C53" s="68"/>
      <c r="D53" s="68"/>
      <c r="E53" s="68"/>
      <c r="F53" s="68"/>
    </row>
    <row r="54" spans="1:7" ht="25.5" customHeight="1" x14ac:dyDescent="0.35">
      <c r="A54" s="55" t="s">
        <v>53</v>
      </c>
      <c r="B54" s="66">
        <f>B50-B53</f>
        <v>0</v>
      </c>
      <c r="C54" s="66"/>
      <c r="D54" s="66"/>
      <c r="E54" s="66"/>
      <c r="F54" s="66"/>
    </row>
    <row r="55" spans="1:7" ht="28.5" customHeight="1" x14ac:dyDescent="0.25">
      <c r="A55" s="57" t="s">
        <v>52</v>
      </c>
      <c r="B55" s="67">
        <f>C50-B53</f>
        <v>0</v>
      </c>
      <c r="C55" s="67"/>
      <c r="D55" s="67"/>
      <c r="E55" s="67"/>
      <c r="F55" s="67"/>
      <c r="G55">
        <f>F55-E55</f>
        <v>0</v>
      </c>
    </row>
    <row r="56" spans="1:7" ht="31.5" customHeight="1" x14ac:dyDescent="0.35">
      <c r="A56" s="58"/>
      <c r="B56" s="54"/>
    </row>
  </sheetData>
  <mergeCells count="5">
    <mergeCell ref="B51:F51"/>
    <mergeCell ref="B52:F52"/>
    <mergeCell ref="B53:F53"/>
    <mergeCell ref="B54:F54"/>
    <mergeCell ref="B55:F55"/>
  </mergeCells>
  <dataValidations count="2">
    <dataValidation type="whole" allowBlank="1" showInputMessage="1" showErrorMessage="1" sqref="A2" xr:uid="{61E8FD42-4267-460E-BEDE-96F6A92A4B04}">
      <formula1>1900</formula1>
      <formula2>9999</formula2>
    </dataValidation>
    <dataValidation type="whole" allowBlank="1" showInputMessage="1" showErrorMessage="1" sqref="B2" xr:uid="{1D3DE39F-EBA0-4A48-A003-A3238B585542}">
      <formula1>1</formula1>
      <formula2>12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Sheet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3</xdr:col>
                    <xdr:colOff>933450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Main">
                <anchor moveWithCells="1" sizeWithCells="1">
                  <from>
                    <xdr:col>4</xdr:col>
                    <xdr:colOff>457200</xdr:colOff>
                    <xdr:row>0</xdr:row>
                    <xdr:rowOff>0</xdr:rowOff>
                  </from>
                  <to>
                    <xdr:col>5</xdr:col>
                    <xdr:colOff>590550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F8810-A316-4820-A546-590E852A03FC}">
  <sheetPr codeName="Sheet5"/>
  <dimension ref="A1:G56"/>
  <sheetViews>
    <sheetView zoomScale="115" zoomScaleNormal="115" workbookViewId="0">
      <selection activeCell="B3" sqref="B3"/>
    </sheetView>
  </sheetViews>
  <sheetFormatPr defaultRowHeight="15" x14ac:dyDescent="0.25"/>
  <cols>
    <col min="1" max="1" width="52.42578125" customWidth="1"/>
    <col min="2" max="2" width="20" customWidth="1"/>
    <col min="3" max="3" width="17" customWidth="1"/>
    <col min="4" max="4" width="16.28515625" customWidth="1"/>
    <col min="6" max="6" width="9" customWidth="1"/>
    <col min="7" max="7" width="118.85546875" customWidth="1"/>
  </cols>
  <sheetData>
    <row r="1" spans="1:7" ht="33.75" customHeight="1" x14ac:dyDescent="0.25">
      <c r="A1" s="38" t="s">
        <v>49</v>
      </c>
      <c r="B1" s="38" t="s">
        <v>48</v>
      </c>
      <c r="C1" s="39"/>
      <c r="D1" s="39"/>
      <c r="E1" s="39"/>
      <c r="F1" s="39"/>
    </row>
    <row r="2" spans="1:7" ht="38.25" customHeight="1" x14ac:dyDescent="0.25">
      <c r="A2" s="40">
        <v>2022</v>
      </c>
      <c r="B2" s="41">
        <v>2</v>
      </c>
      <c r="C2" s="39"/>
      <c r="D2" s="39"/>
      <c r="E2" s="39"/>
      <c r="F2" s="39"/>
    </row>
    <row r="3" spans="1:7" x14ac:dyDescent="0.25">
      <c r="A3" s="2"/>
      <c r="B3" s="3" t="s">
        <v>43</v>
      </c>
      <c r="C3" s="3" t="s">
        <v>45</v>
      </c>
      <c r="D3" s="3" t="s">
        <v>0</v>
      </c>
      <c r="E3" s="3"/>
      <c r="F3" s="4"/>
      <c r="G3" s="1"/>
    </row>
    <row r="4" spans="1:7" x14ac:dyDescent="0.25">
      <c r="A4" s="5" t="s">
        <v>42</v>
      </c>
      <c r="B4" s="6"/>
      <c r="C4" s="6"/>
      <c r="D4" s="6"/>
      <c r="E4" s="6"/>
      <c r="F4" s="7"/>
    </row>
    <row r="5" spans="1:7" x14ac:dyDescent="0.25">
      <c r="A5" s="8" t="s">
        <v>1</v>
      </c>
      <c r="B5" s="34"/>
      <c r="C5" s="9">
        <f>100%/(100%+(Settings!$B$1 * 100)%) *B5</f>
        <v>0</v>
      </c>
      <c r="D5" s="10">
        <f>B5 - C5</f>
        <v>0</v>
      </c>
      <c r="E5" s="11"/>
      <c r="F5" s="12"/>
    </row>
    <row r="6" spans="1:7" x14ac:dyDescent="0.25">
      <c r="A6" s="8" t="s">
        <v>2</v>
      </c>
      <c r="B6" s="35"/>
      <c r="C6" s="9">
        <f>100%/(100%+(Settings!$B$1 * 100)%) *B6</f>
        <v>0</v>
      </c>
      <c r="D6" s="10">
        <f t="shared" ref="D6:D24" si="0">B6 - C6</f>
        <v>0</v>
      </c>
      <c r="E6" s="13"/>
      <c r="F6" s="12"/>
    </row>
    <row r="7" spans="1:7" x14ac:dyDescent="0.25">
      <c r="A7" s="8" t="s">
        <v>41</v>
      </c>
      <c r="B7" s="35"/>
      <c r="C7" s="9">
        <f>100%/(100%+(Settings!$B$1 * 100)%) *B7</f>
        <v>0</v>
      </c>
      <c r="D7" s="10">
        <f t="shared" si="0"/>
        <v>0</v>
      </c>
      <c r="E7" s="13"/>
      <c r="F7" s="12"/>
    </row>
    <row r="8" spans="1:7" x14ac:dyDescent="0.25">
      <c r="A8" s="8" t="s">
        <v>3</v>
      </c>
      <c r="B8" s="35"/>
      <c r="C8" s="9">
        <f>100%/(100%+(Settings!$B$1 * 100)%) *B8</f>
        <v>0</v>
      </c>
      <c r="D8" s="10">
        <f t="shared" si="0"/>
        <v>0</v>
      </c>
      <c r="E8" s="13"/>
      <c r="F8" s="14"/>
    </row>
    <row r="9" spans="1:7" x14ac:dyDescent="0.25">
      <c r="A9" s="8" t="s">
        <v>4</v>
      </c>
      <c r="B9" s="35"/>
      <c r="C9" s="9">
        <f>100%/(100%+(Settings!$B$1 * 100)%) *B9</f>
        <v>0</v>
      </c>
      <c r="D9" s="10">
        <f t="shared" si="0"/>
        <v>0</v>
      </c>
      <c r="E9" s="13"/>
      <c r="F9" s="14"/>
    </row>
    <row r="10" spans="1:7" x14ac:dyDescent="0.25">
      <c r="A10" s="8" t="s">
        <v>5</v>
      </c>
      <c r="B10" s="35"/>
      <c r="C10" s="9">
        <f>100%/(100%+(Settings!$B$1 * 100)%) *B10</f>
        <v>0</v>
      </c>
      <c r="D10" s="10">
        <f t="shared" si="0"/>
        <v>0</v>
      </c>
      <c r="E10" s="13"/>
      <c r="F10" s="14"/>
    </row>
    <row r="11" spans="1:7" x14ac:dyDescent="0.25">
      <c r="A11" s="8" t="s">
        <v>6</v>
      </c>
      <c r="B11" s="35"/>
      <c r="C11" s="9">
        <f>100%/(100%+(Settings!$B$1 * 100)%) *B11</f>
        <v>0</v>
      </c>
      <c r="D11" s="10">
        <f t="shared" si="0"/>
        <v>0</v>
      </c>
      <c r="E11" s="13"/>
      <c r="F11" s="12"/>
    </row>
    <row r="12" spans="1:7" x14ac:dyDescent="0.25">
      <c r="A12" s="8" t="s">
        <v>7</v>
      </c>
      <c r="B12" s="35"/>
      <c r="C12" s="9">
        <f>100%/(100%+(Settings!$B$1 * 100)%) *B12</f>
        <v>0</v>
      </c>
      <c r="D12" s="10">
        <f t="shared" si="0"/>
        <v>0</v>
      </c>
      <c r="E12" s="13"/>
      <c r="F12" s="14"/>
    </row>
    <row r="13" spans="1:7" x14ac:dyDescent="0.25">
      <c r="A13" s="8" t="s">
        <v>8</v>
      </c>
      <c r="B13" s="35"/>
      <c r="C13" s="9">
        <f>100%/(100%+(Settings!$B$1 * 100)%) *B13</f>
        <v>0</v>
      </c>
      <c r="D13" s="10">
        <f t="shared" si="0"/>
        <v>0</v>
      </c>
      <c r="E13" s="13"/>
      <c r="F13" s="14"/>
    </row>
    <row r="14" spans="1:7" x14ac:dyDescent="0.25">
      <c r="A14" s="8" t="s">
        <v>9</v>
      </c>
      <c r="B14" s="35"/>
      <c r="C14" s="9">
        <f>100%/(100%+(Settings!$B$1 * 100)%) *B14</f>
        <v>0</v>
      </c>
      <c r="D14" s="10">
        <f t="shared" si="0"/>
        <v>0</v>
      </c>
      <c r="E14" s="13"/>
      <c r="F14" s="14"/>
    </row>
    <row r="15" spans="1:7" x14ac:dyDescent="0.25">
      <c r="A15" s="8" t="s">
        <v>10</v>
      </c>
      <c r="B15" s="35"/>
      <c r="C15" s="9">
        <f>100%/(100%+(Settings!$B$1 * 100)%) *B15</f>
        <v>0</v>
      </c>
      <c r="D15" s="10">
        <f t="shared" si="0"/>
        <v>0</v>
      </c>
      <c r="E15" s="13"/>
      <c r="F15" s="14"/>
    </row>
    <row r="16" spans="1:7" x14ac:dyDescent="0.25">
      <c r="A16" s="8" t="s">
        <v>11</v>
      </c>
      <c r="B16" s="35"/>
      <c r="C16" s="9">
        <f>100%/(100%+(Settings!$B$1 * 100)%) *B16</f>
        <v>0</v>
      </c>
      <c r="D16" s="10">
        <f t="shared" si="0"/>
        <v>0</v>
      </c>
      <c r="E16" s="13"/>
      <c r="F16" s="12"/>
    </row>
    <row r="17" spans="1:6" x14ac:dyDescent="0.25">
      <c r="A17" s="8" t="s">
        <v>12</v>
      </c>
      <c r="B17" s="35"/>
      <c r="C17" s="9">
        <f>100%/(100%+(Settings!$B$1 * 100)%) *B17</f>
        <v>0</v>
      </c>
      <c r="D17" s="10">
        <f t="shared" si="0"/>
        <v>0</v>
      </c>
      <c r="E17" s="13"/>
      <c r="F17" s="14"/>
    </row>
    <row r="18" spans="1:6" x14ac:dyDescent="0.25">
      <c r="A18" s="8" t="s">
        <v>13</v>
      </c>
      <c r="B18" s="35"/>
      <c r="C18" s="9">
        <f>100%/(100%+(Settings!$B$1 * 100)%) *B18</f>
        <v>0</v>
      </c>
      <c r="D18" s="10">
        <f t="shared" si="0"/>
        <v>0</v>
      </c>
      <c r="E18" s="13"/>
      <c r="F18" s="12"/>
    </row>
    <row r="19" spans="1:6" x14ac:dyDescent="0.25">
      <c r="A19" s="8" t="s">
        <v>14</v>
      </c>
      <c r="B19" s="35"/>
      <c r="C19" s="9">
        <f>100%/(100%+(Settings!$B$1 * 100)%) *B19</f>
        <v>0</v>
      </c>
      <c r="D19" s="10">
        <f t="shared" si="0"/>
        <v>0</v>
      </c>
      <c r="E19" s="13"/>
      <c r="F19" s="14"/>
    </row>
    <row r="20" spans="1:6" x14ac:dyDescent="0.25">
      <c r="A20" s="8" t="s">
        <v>15</v>
      </c>
      <c r="B20" s="35"/>
      <c r="C20" s="9">
        <f>100%/(100%+(Settings!$B$1 * 100)%) *B20</f>
        <v>0</v>
      </c>
      <c r="D20" s="10">
        <f t="shared" si="0"/>
        <v>0</v>
      </c>
      <c r="E20" s="13"/>
      <c r="F20" s="14"/>
    </row>
    <row r="21" spans="1:6" x14ac:dyDescent="0.25">
      <c r="A21" s="8" t="s">
        <v>16</v>
      </c>
      <c r="B21" s="35"/>
      <c r="C21" s="9">
        <f>100%/(100%+(Settings!$B$1 * 100)%) *B21</f>
        <v>0</v>
      </c>
      <c r="D21" s="10">
        <f t="shared" si="0"/>
        <v>0</v>
      </c>
      <c r="E21" s="13"/>
      <c r="F21" s="14"/>
    </row>
    <row r="22" spans="1:6" x14ac:dyDescent="0.25">
      <c r="A22" s="8" t="s">
        <v>17</v>
      </c>
      <c r="B22" s="35"/>
      <c r="C22" s="9">
        <f>100%/(100%+(Settings!$B$1 * 100)%) *B22</f>
        <v>0</v>
      </c>
      <c r="D22" s="10">
        <f t="shared" si="0"/>
        <v>0</v>
      </c>
      <c r="E22" s="13"/>
      <c r="F22" s="12"/>
    </row>
    <row r="23" spans="1:6" x14ac:dyDescent="0.25">
      <c r="A23" s="8" t="s">
        <v>18</v>
      </c>
      <c r="B23" s="35"/>
      <c r="C23" s="9">
        <f>100%/(100%+(Settings!$B$1 * 100)%) *B23</f>
        <v>0</v>
      </c>
      <c r="D23" s="10">
        <f t="shared" si="0"/>
        <v>0</v>
      </c>
      <c r="E23" s="13"/>
      <c r="F23" s="14"/>
    </row>
    <row r="24" spans="1:6" x14ac:dyDescent="0.25">
      <c r="A24" s="8" t="s">
        <v>19</v>
      </c>
      <c r="B24" s="35"/>
      <c r="C24" s="9">
        <f>100%/(100%+(Settings!$B$1 * 100)%) *B24</f>
        <v>0</v>
      </c>
      <c r="D24" s="10">
        <f t="shared" si="0"/>
        <v>0</v>
      </c>
      <c r="E24" s="13"/>
      <c r="F24" s="12"/>
    </row>
    <row r="25" spans="1:6" ht="23.25" x14ac:dyDescent="0.35">
      <c r="A25" s="15" t="s">
        <v>44</v>
      </c>
      <c r="B25" s="16">
        <f>SUM(B5:B24)</f>
        <v>0</v>
      </c>
      <c r="C25" s="16">
        <f>SUM(C5:C24)</f>
        <v>0</v>
      </c>
      <c r="D25" s="16">
        <f>SUM(D5:D24)</f>
        <v>0</v>
      </c>
      <c r="E25" s="17"/>
      <c r="F25" s="18"/>
    </row>
    <row r="26" spans="1:6" x14ac:dyDescent="0.25">
      <c r="A26" s="19" t="s">
        <v>20</v>
      </c>
      <c r="B26" s="20"/>
      <c r="C26" s="21"/>
      <c r="D26" s="22"/>
      <c r="E26" s="23"/>
      <c r="F26" s="24"/>
    </row>
    <row r="27" spans="1:6" x14ac:dyDescent="0.25">
      <c r="A27" s="8" t="s">
        <v>21</v>
      </c>
      <c r="B27" s="36"/>
      <c r="C27" s="9">
        <f>100%/(100%+(Settings!$B$1 * 100)%) *B27</f>
        <v>0</v>
      </c>
      <c r="D27" s="9">
        <f>B27-C27</f>
        <v>0</v>
      </c>
      <c r="E27" s="13"/>
      <c r="F27" s="12"/>
    </row>
    <row r="28" spans="1:6" x14ac:dyDescent="0.25">
      <c r="A28" s="8" t="s">
        <v>22</v>
      </c>
      <c r="B28" s="36"/>
      <c r="C28" s="9">
        <f>100%/(100%+(Settings!$B$1 * 100)%) *B28</f>
        <v>0</v>
      </c>
      <c r="D28" s="9">
        <f t="shared" ref="D28:D35" si="1">B28-C28</f>
        <v>0</v>
      </c>
      <c r="E28" s="13"/>
      <c r="F28" s="14"/>
    </row>
    <row r="29" spans="1:6" x14ac:dyDescent="0.25">
      <c r="A29" s="8" t="s">
        <v>23</v>
      </c>
      <c r="B29" s="36"/>
      <c r="C29" s="9">
        <f>100%/(100%+(Settings!$B$1 * 100)%) *B29</f>
        <v>0</v>
      </c>
      <c r="D29" s="9">
        <f t="shared" si="1"/>
        <v>0</v>
      </c>
      <c r="E29" s="13"/>
      <c r="F29" s="12"/>
    </row>
    <row r="30" spans="1:6" x14ac:dyDescent="0.25">
      <c r="A30" s="8" t="s">
        <v>24</v>
      </c>
      <c r="B30" s="36"/>
      <c r="C30" s="9">
        <f>100%/(100%+(Settings!$B$1 * 100)%) *B30</f>
        <v>0</v>
      </c>
      <c r="D30" s="9">
        <f t="shared" si="1"/>
        <v>0</v>
      </c>
      <c r="E30" s="13"/>
      <c r="F30" s="14"/>
    </row>
    <row r="31" spans="1:6" x14ac:dyDescent="0.25">
      <c r="A31" s="8" t="s">
        <v>25</v>
      </c>
      <c r="B31" s="36"/>
      <c r="C31" s="9">
        <f>100%/(100%+(Settings!$B$1 * 100)%) *B31</f>
        <v>0</v>
      </c>
      <c r="D31" s="9">
        <f t="shared" si="1"/>
        <v>0</v>
      </c>
      <c r="E31" s="13"/>
      <c r="F31" s="14"/>
    </row>
    <row r="32" spans="1:6" x14ac:dyDescent="0.25">
      <c r="A32" s="8" t="s">
        <v>26</v>
      </c>
      <c r="B32" s="36"/>
      <c r="C32" s="9">
        <f>100%/(100%+(Settings!$B$1 * 100)%) *B32</f>
        <v>0</v>
      </c>
      <c r="D32" s="9">
        <f t="shared" si="1"/>
        <v>0</v>
      </c>
      <c r="E32" s="13"/>
      <c r="F32" s="14"/>
    </row>
    <row r="33" spans="1:6" x14ac:dyDescent="0.25">
      <c r="A33" s="8" t="s">
        <v>27</v>
      </c>
      <c r="B33" s="36"/>
      <c r="C33" s="9">
        <f>100%/(100%+(Settings!$B$1 * 100)%) *B33</f>
        <v>0</v>
      </c>
      <c r="D33" s="9">
        <f t="shared" si="1"/>
        <v>0</v>
      </c>
      <c r="E33" s="13"/>
      <c r="F33" s="14"/>
    </row>
    <row r="34" spans="1:6" x14ac:dyDescent="0.25">
      <c r="A34" s="8" t="s">
        <v>28</v>
      </c>
      <c r="B34" s="36"/>
      <c r="C34" s="9">
        <f>100%/(100%+(Settings!$B$1 * 100)%) *B34</f>
        <v>0</v>
      </c>
      <c r="D34" s="9">
        <f t="shared" si="1"/>
        <v>0</v>
      </c>
      <c r="E34" s="13"/>
      <c r="F34" s="14"/>
    </row>
    <row r="35" spans="1:6" x14ac:dyDescent="0.25">
      <c r="A35" s="8" t="s">
        <v>29</v>
      </c>
      <c r="B35" s="36"/>
      <c r="C35" s="9">
        <f>100%/(100%+(Settings!$B$1 * 100)%) *B35</f>
        <v>0</v>
      </c>
      <c r="D35" s="9">
        <f t="shared" si="1"/>
        <v>0</v>
      </c>
      <c r="E35" s="13"/>
      <c r="F35" s="12"/>
    </row>
    <row r="36" spans="1:6" ht="23.25" x14ac:dyDescent="0.35">
      <c r="A36" s="15" t="s">
        <v>44</v>
      </c>
      <c r="B36" s="25">
        <f>SUM(B27:B35)</f>
        <v>0</v>
      </c>
      <c r="C36" s="16">
        <f>SUM(C27:C35)</f>
        <v>0</v>
      </c>
      <c r="D36" s="16">
        <f>SUM(D27:D35)</f>
        <v>0</v>
      </c>
      <c r="E36" s="17"/>
      <c r="F36" s="18"/>
    </row>
    <row r="37" spans="1:6" x14ac:dyDescent="0.25">
      <c r="A37" s="19" t="s">
        <v>30</v>
      </c>
      <c r="B37" s="20"/>
      <c r="C37" s="21"/>
      <c r="D37" s="22"/>
      <c r="E37" s="23"/>
      <c r="F37" s="24"/>
    </row>
    <row r="38" spans="1:6" x14ac:dyDescent="0.25">
      <c r="A38" s="26" t="s">
        <v>31</v>
      </c>
      <c r="B38" s="37"/>
      <c r="C38" s="9">
        <f>100%/(100%+(Settings!$B$1 * 100)%) *B38</f>
        <v>0</v>
      </c>
      <c r="D38" s="9">
        <f>B38-C38</f>
        <v>0</v>
      </c>
      <c r="E38" s="27"/>
      <c r="F38" s="28"/>
    </row>
    <row r="39" spans="1:6" x14ac:dyDescent="0.25">
      <c r="A39" s="8" t="s">
        <v>32</v>
      </c>
      <c r="B39" s="37"/>
      <c r="C39" s="9">
        <f>100%/(100%+(Settings!$B$1 * 100)%) *B39</f>
        <v>0</v>
      </c>
      <c r="D39" s="9">
        <f t="shared" ref="D39:D47" si="2">B39-C39</f>
        <v>0</v>
      </c>
      <c r="E39" s="13"/>
      <c r="F39" s="12"/>
    </row>
    <row r="40" spans="1:6" x14ac:dyDescent="0.25">
      <c r="A40" s="8" t="s">
        <v>33</v>
      </c>
      <c r="B40" s="37"/>
      <c r="C40" s="9">
        <f>100%/(100%+(Settings!$B$1 * 100)%) *B40</f>
        <v>0</v>
      </c>
      <c r="D40" s="9">
        <f t="shared" si="2"/>
        <v>0</v>
      </c>
      <c r="E40" s="13"/>
      <c r="F40" s="12"/>
    </row>
    <row r="41" spans="1:6" x14ac:dyDescent="0.25">
      <c r="A41" s="8" t="s">
        <v>34</v>
      </c>
      <c r="B41" s="37"/>
      <c r="C41" s="9">
        <f>100%/(100%+(Settings!$B$1 * 100)%) *B41</f>
        <v>0</v>
      </c>
      <c r="D41" s="9">
        <f t="shared" si="2"/>
        <v>0</v>
      </c>
      <c r="E41" s="13"/>
      <c r="F41" s="12"/>
    </row>
    <row r="42" spans="1:6" x14ac:dyDescent="0.25">
      <c r="A42" s="8" t="s">
        <v>35</v>
      </c>
      <c r="B42" s="37"/>
      <c r="C42" s="9">
        <f>100%/(100%+(Settings!$B$1 * 100)%) *B42</f>
        <v>0</v>
      </c>
      <c r="D42" s="9">
        <f t="shared" si="2"/>
        <v>0</v>
      </c>
      <c r="E42" s="13"/>
      <c r="F42" s="12"/>
    </row>
    <row r="43" spans="1:6" x14ac:dyDescent="0.25">
      <c r="A43" s="8" t="s">
        <v>36</v>
      </c>
      <c r="B43" s="37"/>
      <c r="C43" s="9">
        <f>100%/(100%+(Settings!$B$1 * 100)%) *B43</f>
        <v>0</v>
      </c>
      <c r="D43" s="9">
        <f t="shared" si="2"/>
        <v>0</v>
      </c>
      <c r="E43" s="13"/>
      <c r="F43" s="12"/>
    </row>
    <row r="44" spans="1:6" x14ac:dyDescent="0.25">
      <c r="A44" s="8" t="s">
        <v>37</v>
      </c>
      <c r="B44" s="37"/>
      <c r="C44" s="9">
        <f>100%/(100%+(Settings!$B$1 * 100)%) *B44</f>
        <v>0</v>
      </c>
      <c r="D44" s="9">
        <f t="shared" si="2"/>
        <v>0</v>
      </c>
      <c r="E44" s="13"/>
      <c r="F44" s="12"/>
    </row>
    <row r="45" spans="1:6" x14ac:dyDescent="0.25">
      <c r="A45" s="8" t="s">
        <v>38</v>
      </c>
      <c r="B45" s="37"/>
      <c r="C45" s="9">
        <f>100%/(100%+(Settings!$B$1 * 100)%) *B45</f>
        <v>0</v>
      </c>
      <c r="D45" s="9">
        <f t="shared" si="2"/>
        <v>0</v>
      </c>
      <c r="E45" s="13"/>
      <c r="F45" s="14"/>
    </row>
    <row r="46" spans="1:6" x14ac:dyDescent="0.25">
      <c r="A46" s="8" t="s">
        <v>39</v>
      </c>
      <c r="B46" s="37"/>
      <c r="C46" s="9">
        <f>100%/(100%+(Settings!$B$1 * 100)%) *B46</f>
        <v>0</v>
      </c>
      <c r="D46" s="9">
        <f t="shared" si="2"/>
        <v>0</v>
      </c>
      <c r="E46" s="13"/>
      <c r="F46" s="14"/>
    </row>
    <row r="47" spans="1:6" ht="18.75" customHeight="1" x14ac:dyDescent="0.25">
      <c r="A47" s="8" t="s">
        <v>40</v>
      </c>
      <c r="B47" s="37"/>
      <c r="C47" s="9">
        <f>100%/(100%+(Settings!$B$1 * 100)%) *B47</f>
        <v>0</v>
      </c>
      <c r="D47" s="9">
        <f t="shared" si="2"/>
        <v>0</v>
      </c>
      <c r="E47" s="13"/>
      <c r="F47" s="14"/>
    </row>
    <row r="48" spans="1:6" ht="25.5" customHeight="1" x14ac:dyDescent="0.35">
      <c r="A48" s="29" t="s">
        <v>44</v>
      </c>
      <c r="B48" s="30">
        <f>SUM(B38:B47)</f>
        <v>0</v>
      </c>
      <c r="C48" s="30">
        <f>SUM(C38:C47)</f>
        <v>0</v>
      </c>
      <c r="D48" s="30">
        <f>SUM(D38:D47)</f>
        <v>0</v>
      </c>
      <c r="E48" s="31"/>
      <c r="F48" s="32"/>
    </row>
    <row r="49" spans="1:7" ht="18.75" customHeight="1" x14ac:dyDescent="0.25">
      <c r="A49" s="51" t="s">
        <v>50</v>
      </c>
      <c r="B49" s="47"/>
      <c r="C49" s="52" t="s">
        <v>54</v>
      </c>
      <c r="D49" s="53" t="s">
        <v>0</v>
      </c>
      <c r="E49" s="48"/>
      <c r="F49" s="49"/>
    </row>
    <row r="50" spans="1:7" ht="18.75" customHeight="1" x14ac:dyDescent="0.25">
      <c r="A50" s="50" t="s">
        <v>51</v>
      </c>
      <c r="B50" s="43"/>
      <c r="C50" s="44">
        <f>100%/(100%+(Settings!B1 * 100)%) * B50</f>
        <v>0</v>
      </c>
      <c r="D50" s="56">
        <f>B50 - C50</f>
        <v>0</v>
      </c>
      <c r="E50" s="45"/>
      <c r="F50" s="46"/>
    </row>
    <row r="51" spans="1:7" ht="30.75" customHeight="1" x14ac:dyDescent="0.35">
      <c r="A51" s="33" t="s">
        <v>45</v>
      </c>
      <c r="B51" s="68">
        <f xml:space="preserve"> C25+C36+C48</f>
        <v>0</v>
      </c>
      <c r="C51" s="68"/>
      <c r="D51" s="68"/>
      <c r="E51" s="68"/>
      <c r="F51" s="68"/>
    </row>
    <row r="52" spans="1:7" ht="25.5" customHeight="1" x14ac:dyDescent="0.35">
      <c r="A52" s="33" t="s">
        <v>46</v>
      </c>
      <c r="B52" s="68">
        <f xml:space="preserve"> D25+D36+D48</f>
        <v>0</v>
      </c>
      <c r="C52" s="68"/>
      <c r="D52" s="68"/>
      <c r="E52" s="68"/>
      <c r="F52" s="68"/>
    </row>
    <row r="53" spans="1:7" ht="25.5" customHeight="1" x14ac:dyDescent="0.35">
      <c r="A53" s="33" t="s">
        <v>47</v>
      </c>
      <c r="B53" s="68">
        <f xml:space="preserve"> B48+B36+B25</f>
        <v>0</v>
      </c>
      <c r="C53" s="68"/>
      <c r="D53" s="68"/>
      <c r="E53" s="68"/>
      <c r="F53" s="68"/>
    </row>
    <row r="54" spans="1:7" ht="25.5" customHeight="1" x14ac:dyDescent="0.35">
      <c r="A54" s="55" t="s">
        <v>53</v>
      </c>
      <c r="B54" s="66">
        <f>B50-B53</f>
        <v>0</v>
      </c>
      <c r="C54" s="66"/>
      <c r="D54" s="66"/>
      <c r="E54" s="66"/>
      <c r="F54" s="66"/>
    </row>
    <row r="55" spans="1:7" ht="28.5" customHeight="1" x14ac:dyDescent="0.25">
      <c r="A55" s="57" t="s">
        <v>52</v>
      </c>
      <c r="B55" s="67">
        <f>C50-B53</f>
        <v>0</v>
      </c>
      <c r="C55" s="67"/>
      <c r="D55" s="67"/>
      <c r="E55" s="67"/>
      <c r="F55" s="67"/>
      <c r="G55">
        <f>F55-E55</f>
        <v>0</v>
      </c>
    </row>
    <row r="56" spans="1:7" ht="31.5" customHeight="1" x14ac:dyDescent="0.35">
      <c r="A56" s="58"/>
      <c r="B56" s="54"/>
    </row>
  </sheetData>
  <mergeCells count="5">
    <mergeCell ref="B51:F51"/>
    <mergeCell ref="B52:F52"/>
    <mergeCell ref="B53:F53"/>
    <mergeCell ref="B54:F54"/>
    <mergeCell ref="B55:F55"/>
  </mergeCells>
  <dataValidations count="2">
    <dataValidation type="whole" allowBlank="1" showInputMessage="1" showErrorMessage="1" sqref="B2" xr:uid="{D35074BE-8F59-424F-9615-1FE7F35EBFB9}">
      <formula1>1</formula1>
      <formula2>12</formula2>
    </dataValidation>
    <dataValidation type="whole" allowBlank="1" showInputMessage="1" showErrorMessage="1" sqref="A2" xr:uid="{48535A5B-083D-492A-AFFB-EB7DE1AE1729}">
      <formula1>1900</formula1>
      <formula2>9999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EF8E6-1624-4E6F-A23D-2D9D1D3EB3FC}">
  <sheetPr codeName="Sheet3"/>
  <dimension ref="A1:G56"/>
  <sheetViews>
    <sheetView zoomScale="115" zoomScaleNormal="115" workbookViewId="0">
      <selection activeCell="G5" sqref="G5"/>
    </sheetView>
  </sheetViews>
  <sheetFormatPr defaultRowHeight="15" x14ac:dyDescent="0.25"/>
  <cols>
    <col min="1" max="1" width="52.42578125" customWidth="1"/>
    <col min="2" max="2" width="20" customWidth="1"/>
    <col min="3" max="3" width="17" customWidth="1"/>
    <col min="4" max="4" width="16.28515625" customWidth="1"/>
    <col min="6" max="6" width="9" customWidth="1"/>
    <col min="7" max="7" width="118.85546875" customWidth="1"/>
  </cols>
  <sheetData>
    <row r="1" spans="1:7" ht="33.75" customHeight="1" x14ac:dyDescent="0.25">
      <c r="A1" s="38" t="s">
        <v>49</v>
      </c>
      <c r="B1" s="38" t="s">
        <v>48</v>
      </c>
      <c r="C1" s="39"/>
      <c r="D1" s="39"/>
      <c r="E1" s="39"/>
      <c r="F1" s="39"/>
    </row>
    <row r="2" spans="1:7" ht="38.25" customHeight="1" x14ac:dyDescent="0.25">
      <c r="A2" s="40">
        <v>2022</v>
      </c>
      <c r="B2" s="41">
        <v>1</v>
      </c>
      <c r="C2" s="39"/>
      <c r="D2" s="39"/>
      <c r="E2" s="39"/>
      <c r="F2" s="39"/>
    </row>
    <row r="3" spans="1:7" x14ac:dyDescent="0.25">
      <c r="A3" s="2"/>
      <c r="B3" s="3" t="s">
        <v>43</v>
      </c>
      <c r="C3" s="3" t="s">
        <v>45</v>
      </c>
      <c r="D3" s="3" t="s">
        <v>0</v>
      </c>
      <c r="E3" s="3"/>
      <c r="F3" s="4"/>
      <c r="G3" s="1"/>
    </row>
    <row r="4" spans="1:7" x14ac:dyDescent="0.25">
      <c r="A4" s="5" t="s">
        <v>42</v>
      </c>
      <c r="B4" s="6"/>
      <c r="C4" s="6"/>
      <c r="D4" s="6"/>
      <c r="E4" s="6"/>
      <c r="F4" s="7"/>
    </row>
    <row r="5" spans="1:7" x14ac:dyDescent="0.25">
      <c r="A5" s="8" t="s">
        <v>1</v>
      </c>
      <c r="B5" s="34"/>
      <c r="C5" s="9">
        <f>100%/(100%+(Settings!$B$1 * 100)%) *B5</f>
        <v>0</v>
      </c>
      <c r="D5" s="10">
        <f>B5 - C5</f>
        <v>0</v>
      </c>
      <c r="E5" s="11"/>
      <c r="F5" s="12"/>
    </row>
    <row r="6" spans="1:7" x14ac:dyDescent="0.25">
      <c r="A6" s="8" t="s">
        <v>2</v>
      </c>
      <c r="B6" s="35"/>
      <c r="C6" s="9">
        <f>100%/(100%+(Settings!$B$1 * 100)%) *B6</f>
        <v>0</v>
      </c>
      <c r="D6" s="10">
        <f t="shared" ref="D6:D24" si="0">B6 - C6</f>
        <v>0</v>
      </c>
      <c r="E6" s="13"/>
      <c r="F6" s="12"/>
    </row>
    <row r="7" spans="1:7" x14ac:dyDescent="0.25">
      <c r="A7" s="8" t="s">
        <v>41</v>
      </c>
      <c r="B7" s="35"/>
      <c r="C7" s="9">
        <f>100%/(100%+(Settings!$B$1 * 100)%) *B7</f>
        <v>0</v>
      </c>
      <c r="D7" s="10">
        <f t="shared" si="0"/>
        <v>0</v>
      </c>
      <c r="E7" s="13"/>
      <c r="F7" s="12"/>
    </row>
    <row r="8" spans="1:7" x14ac:dyDescent="0.25">
      <c r="A8" s="8" t="s">
        <v>3</v>
      </c>
      <c r="B8" s="35"/>
      <c r="C8" s="9">
        <f>100%/(100%+(Settings!$B$1 * 100)%) *B8</f>
        <v>0</v>
      </c>
      <c r="D8" s="10">
        <f t="shared" si="0"/>
        <v>0</v>
      </c>
      <c r="E8" s="13"/>
      <c r="F8" s="14"/>
    </row>
    <row r="9" spans="1:7" x14ac:dyDescent="0.25">
      <c r="A9" s="8" t="s">
        <v>4</v>
      </c>
      <c r="B9" s="35"/>
      <c r="C9" s="9">
        <f>100%/(100%+(Settings!$B$1 * 100)%) *B9</f>
        <v>0</v>
      </c>
      <c r="D9" s="10">
        <f t="shared" si="0"/>
        <v>0</v>
      </c>
      <c r="E9" s="13"/>
      <c r="F9" s="14"/>
    </row>
    <row r="10" spans="1:7" x14ac:dyDescent="0.25">
      <c r="A10" s="8" t="s">
        <v>5</v>
      </c>
      <c r="B10" s="35"/>
      <c r="C10" s="9">
        <f>100%/(100%+(Settings!$B$1 * 100)%) *B10</f>
        <v>0</v>
      </c>
      <c r="D10" s="10">
        <f t="shared" si="0"/>
        <v>0</v>
      </c>
      <c r="E10" s="13"/>
      <c r="F10" s="14"/>
    </row>
    <row r="11" spans="1:7" x14ac:dyDescent="0.25">
      <c r="A11" s="8" t="s">
        <v>6</v>
      </c>
      <c r="B11" s="35"/>
      <c r="C11" s="9">
        <f>100%/(100%+(Settings!$B$1 * 100)%) *B11</f>
        <v>0</v>
      </c>
      <c r="D11" s="10">
        <f t="shared" si="0"/>
        <v>0</v>
      </c>
      <c r="E11" s="13"/>
      <c r="F11" s="12"/>
    </row>
    <row r="12" spans="1:7" x14ac:dyDescent="0.25">
      <c r="A12" s="8" t="s">
        <v>7</v>
      </c>
      <c r="B12" s="35"/>
      <c r="C12" s="9">
        <f>100%/(100%+(Settings!$B$1 * 100)%) *B12</f>
        <v>0</v>
      </c>
      <c r="D12" s="10">
        <f t="shared" si="0"/>
        <v>0</v>
      </c>
      <c r="E12" s="13"/>
      <c r="F12" s="14"/>
    </row>
    <row r="13" spans="1:7" x14ac:dyDescent="0.25">
      <c r="A13" s="8" t="s">
        <v>8</v>
      </c>
      <c r="B13" s="35"/>
      <c r="C13" s="9">
        <f>100%/(100%+(Settings!$B$1 * 100)%) *B13</f>
        <v>0</v>
      </c>
      <c r="D13" s="10">
        <f t="shared" si="0"/>
        <v>0</v>
      </c>
      <c r="E13" s="13"/>
      <c r="F13" s="14"/>
    </row>
    <row r="14" spans="1:7" x14ac:dyDescent="0.25">
      <c r="A14" s="8" t="s">
        <v>9</v>
      </c>
      <c r="B14" s="35"/>
      <c r="C14" s="9">
        <f>100%/(100%+(Settings!$B$1 * 100)%) *B14</f>
        <v>0</v>
      </c>
      <c r="D14" s="10">
        <f t="shared" si="0"/>
        <v>0</v>
      </c>
      <c r="E14" s="13"/>
      <c r="F14" s="14"/>
    </row>
    <row r="15" spans="1:7" x14ac:dyDescent="0.25">
      <c r="A15" s="8" t="s">
        <v>10</v>
      </c>
      <c r="B15" s="35"/>
      <c r="C15" s="9">
        <f>100%/(100%+(Settings!$B$1 * 100)%) *B15</f>
        <v>0</v>
      </c>
      <c r="D15" s="10">
        <f t="shared" si="0"/>
        <v>0</v>
      </c>
      <c r="E15" s="13"/>
      <c r="F15" s="14"/>
    </row>
    <row r="16" spans="1:7" x14ac:dyDescent="0.25">
      <c r="A16" s="8" t="s">
        <v>11</v>
      </c>
      <c r="B16" s="35"/>
      <c r="C16" s="9">
        <f>100%/(100%+(Settings!$B$1 * 100)%) *B16</f>
        <v>0</v>
      </c>
      <c r="D16" s="10">
        <f t="shared" si="0"/>
        <v>0</v>
      </c>
      <c r="E16" s="13"/>
      <c r="F16" s="12"/>
    </row>
    <row r="17" spans="1:6" x14ac:dyDescent="0.25">
      <c r="A17" s="8" t="s">
        <v>12</v>
      </c>
      <c r="B17" s="35"/>
      <c r="C17" s="9">
        <f>100%/(100%+(Settings!$B$1 * 100)%) *B17</f>
        <v>0</v>
      </c>
      <c r="D17" s="10">
        <f t="shared" si="0"/>
        <v>0</v>
      </c>
      <c r="E17" s="13"/>
      <c r="F17" s="14"/>
    </row>
    <row r="18" spans="1:6" x14ac:dyDescent="0.25">
      <c r="A18" s="8" t="s">
        <v>13</v>
      </c>
      <c r="B18" s="35"/>
      <c r="C18" s="9">
        <f>100%/(100%+(Settings!$B$1 * 100)%) *B18</f>
        <v>0</v>
      </c>
      <c r="D18" s="10">
        <f t="shared" si="0"/>
        <v>0</v>
      </c>
      <c r="E18" s="13"/>
      <c r="F18" s="12"/>
    </row>
    <row r="19" spans="1:6" x14ac:dyDescent="0.25">
      <c r="A19" s="8" t="s">
        <v>14</v>
      </c>
      <c r="B19" s="35"/>
      <c r="C19" s="9">
        <f>100%/(100%+(Settings!$B$1 * 100)%) *B19</f>
        <v>0</v>
      </c>
      <c r="D19" s="10">
        <f t="shared" si="0"/>
        <v>0</v>
      </c>
      <c r="E19" s="13"/>
      <c r="F19" s="14"/>
    </row>
    <row r="20" spans="1:6" x14ac:dyDescent="0.25">
      <c r="A20" s="8" t="s">
        <v>15</v>
      </c>
      <c r="B20" s="35"/>
      <c r="C20" s="9">
        <f>100%/(100%+(Settings!$B$1 * 100)%) *B20</f>
        <v>0</v>
      </c>
      <c r="D20" s="10">
        <f t="shared" si="0"/>
        <v>0</v>
      </c>
      <c r="E20" s="13"/>
      <c r="F20" s="14"/>
    </row>
    <row r="21" spans="1:6" x14ac:dyDescent="0.25">
      <c r="A21" s="8" t="s">
        <v>16</v>
      </c>
      <c r="B21" s="35"/>
      <c r="C21" s="9">
        <f>100%/(100%+(Settings!$B$1 * 100)%) *B21</f>
        <v>0</v>
      </c>
      <c r="D21" s="10">
        <f t="shared" si="0"/>
        <v>0</v>
      </c>
      <c r="E21" s="13"/>
      <c r="F21" s="14"/>
    </row>
    <row r="22" spans="1:6" x14ac:dyDescent="0.25">
      <c r="A22" s="8" t="s">
        <v>17</v>
      </c>
      <c r="B22" s="35"/>
      <c r="C22" s="9">
        <f>100%/(100%+(Settings!$B$1 * 100)%) *B22</f>
        <v>0</v>
      </c>
      <c r="D22" s="10">
        <f t="shared" si="0"/>
        <v>0</v>
      </c>
      <c r="E22" s="13"/>
      <c r="F22" s="12"/>
    </row>
    <row r="23" spans="1:6" x14ac:dyDescent="0.25">
      <c r="A23" s="8" t="s">
        <v>18</v>
      </c>
      <c r="B23" s="35"/>
      <c r="C23" s="9">
        <f>100%/(100%+(Settings!$B$1 * 100)%) *B23</f>
        <v>0</v>
      </c>
      <c r="D23" s="10">
        <f t="shared" si="0"/>
        <v>0</v>
      </c>
      <c r="E23" s="13"/>
      <c r="F23" s="14"/>
    </row>
    <row r="24" spans="1:6" x14ac:dyDescent="0.25">
      <c r="A24" s="8" t="s">
        <v>19</v>
      </c>
      <c r="B24" s="35"/>
      <c r="C24" s="9">
        <f>100%/(100%+(Settings!$B$1 * 100)%) *B24</f>
        <v>0</v>
      </c>
      <c r="D24" s="10">
        <f t="shared" si="0"/>
        <v>0</v>
      </c>
      <c r="E24" s="13"/>
      <c r="F24" s="12"/>
    </row>
    <row r="25" spans="1:6" ht="23.25" x14ac:dyDescent="0.35">
      <c r="A25" s="15" t="s">
        <v>44</v>
      </c>
      <c r="B25" s="16">
        <f>SUM(B5:B24)</f>
        <v>0</v>
      </c>
      <c r="C25" s="16">
        <f>SUM(C5:C24)</f>
        <v>0</v>
      </c>
      <c r="D25" s="16">
        <f>SUM(D5:D24)</f>
        <v>0</v>
      </c>
      <c r="E25" s="17"/>
      <c r="F25" s="18"/>
    </row>
    <row r="26" spans="1:6" x14ac:dyDescent="0.25">
      <c r="A26" s="19" t="s">
        <v>20</v>
      </c>
      <c r="B26" s="20"/>
      <c r="C26" s="21"/>
      <c r="D26" s="22"/>
      <c r="E26" s="23"/>
      <c r="F26" s="24"/>
    </row>
    <row r="27" spans="1:6" x14ac:dyDescent="0.25">
      <c r="A27" s="8" t="s">
        <v>21</v>
      </c>
      <c r="B27" s="36"/>
      <c r="C27" s="9">
        <f>100%/(100%+(Settings!$B$1 * 100)%) *B27</f>
        <v>0</v>
      </c>
      <c r="D27" s="9">
        <f>B27-C27</f>
        <v>0</v>
      </c>
      <c r="E27" s="13"/>
      <c r="F27" s="12"/>
    </row>
    <row r="28" spans="1:6" x14ac:dyDescent="0.25">
      <c r="A28" s="8" t="s">
        <v>22</v>
      </c>
      <c r="B28" s="36"/>
      <c r="C28" s="9">
        <f>100%/(100%+(Settings!$B$1 * 100)%) *B28</f>
        <v>0</v>
      </c>
      <c r="D28" s="9">
        <f t="shared" ref="D28:D35" si="1">B28-C28</f>
        <v>0</v>
      </c>
      <c r="E28" s="13"/>
      <c r="F28" s="14"/>
    </row>
    <row r="29" spans="1:6" x14ac:dyDescent="0.25">
      <c r="A29" s="8" t="s">
        <v>23</v>
      </c>
      <c r="B29" s="36"/>
      <c r="C29" s="9">
        <f>100%/(100%+(Settings!$B$1 * 100)%) *B29</f>
        <v>0</v>
      </c>
      <c r="D29" s="9">
        <f t="shared" si="1"/>
        <v>0</v>
      </c>
      <c r="E29" s="13"/>
      <c r="F29" s="12"/>
    </row>
    <row r="30" spans="1:6" x14ac:dyDescent="0.25">
      <c r="A30" s="8" t="s">
        <v>24</v>
      </c>
      <c r="B30" s="36"/>
      <c r="C30" s="9">
        <f>100%/(100%+(Settings!$B$1 * 100)%) *B30</f>
        <v>0</v>
      </c>
      <c r="D30" s="9">
        <f t="shared" si="1"/>
        <v>0</v>
      </c>
      <c r="E30" s="13"/>
      <c r="F30" s="14"/>
    </row>
    <row r="31" spans="1:6" x14ac:dyDescent="0.25">
      <c r="A31" s="8" t="s">
        <v>25</v>
      </c>
      <c r="B31" s="36"/>
      <c r="C31" s="9">
        <f>100%/(100%+(Settings!$B$1 * 100)%) *B31</f>
        <v>0</v>
      </c>
      <c r="D31" s="9">
        <f t="shared" si="1"/>
        <v>0</v>
      </c>
      <c r="E31" s="13"/>
      <c r="F31" s="14"/>
    </row>
    <row r="32" spans="1:6" x14ac:dyDescent="0.25">
      <c r="A32" s="8" t="s">
        <v>26</v>
      </c>
      <c r="B32" s="36"/>
      <c r="C32" s="9">
        <f>100%/(100%+(Settings!$B$1 * 100)%) *B32</f>
        <v>0</v>
      </c>
      <c r="D32" s="9">
        <f t="shared" si="1"/>
        <v>0</v>
      </c>
      <c r="E32" s="13"/>
      <c r="F32" s="14"/>
    </row>
    <row r="33" spans="1:6" x14ac:dyDescent="0.25">
      <c r="A33" s="8" t="s">
        <v>27</v>
      </c>
      <c r="B33" s="36"/>
      <c r="C33" s="9">
        <f>100%/(100%+(Settings!$B$1 * 100)%) *B33</f>
        <v>0</v>
      </c>
      <c r="D33" s="9">
        <f t="shared" si="1"/>
        <v>0</v>
      </c>
      <c r="E33" s="13"/>
      <c r="F33" s="14"/>
    </row>
    <row r="34" spans="1:6" x14ac:dyDescent="0.25">
      <c r="A34" s="8" t="s">
        <v>28</v>
      </c>
      <c r="B34" s="36"/>
      <c r="C34" s="9">
        <f>100%/(100%+(Settings!$B$1 * 100)%) *B34</f>
        <v>0</v>
      </c>
      <c r="D34" s="9">
        <f t="shared" si="1"/>
        <v>0</v>
      </c>
      <c r="E34" s="13"/>
      <c r="F34" s="14"/>
    </row>
    <row r="35" spans="1:6" x14ac:dyDescent="0.25">
      <c r="A35" s="8" t="s">
        <v>29</v>
      </c>
      <c r="B35" s="36"/>
      <c r="C35" s="9">
        <f>100%/(100%+(Settings!$B$1 * 100)%) *B35</f>
        <v>0</v>
      </c>
      <c r="D35" s="9">
        <f t="shared" si="1"/>
        <v>0</v>
      </c>
      <c r="E35" s="13"/>
      <c r="F35" s="12"/>
    </row>
    <row r="36" spans="1:6" ht="23.25" x14ac:dyDescent="0.35">
      <c r="A36" s="15" t="s">
        <v>44</v>
      </c>
      <c r="B36" s="25">
        <f>SUM(B27:B35)</f>
        <v>0</v>
      </c>
      <c r="C36" s="16">
        <f>SUM(C27:C35)</f>
        <v>0</v>
      </c>
      <c r="D36" s="16">
        <f>SUM(D27:D35)</f>
        <v>0</v>
      </c>
      <c r="E36" s="17"/>
      <c r="F36" s="18"/>
    </row>
    <row r="37" spans="1:6" x14ac:dyDescent="0.25">
      <c r="A37" s="19" t="s">
        <v>30</v>
      </c>
      <c r="B37" s="20"/>
      <c r="C37" s="21"/>
      <c r="D37" s="22"/>
      <c r="E37" s="23"/>
      <c r="F37" s="24"/>
    </row>
    <row r="38" spans="1:6" x14ac:dyDescent="0.25">
      <c r="A38" s="26" t="s">
        <v>31</v>
      </c>
      <c r="B38" s="37"/>
      <c r="C38" s="9">
        <f>100%/(100%+(Settings!$B$1 * 100)%) *B38</f>
        <v>0</v>
      </c>
      <c r="D38" s="9">
        <f>B38-C38</f>
        <v>0</v>
      </c>
      <c r="E38" s="27"/>
      <c r="F38" s="28"/>
    </row>
    <row r="39" spans="1:6" x14ac:dyDescent="0.25">
      <c r="A39" s="8" t="s">
        <v>32</v>
      </c>
      <c r="B39" s="37"/>
      <c r="C39" s="9">
        <f>100%/(100%+(Settings!$B$1 * 100)%) *B39</f>
        <v>0</v>
      </c>
      <c r="D39" s="9">
        <f t="shared" ref="D39:D47" si="2">B39-C39</f>
        <v>0</v>
      </c>
      <c r="E39" s="13"/>
      <c r="F39" s="12"/>
    </row>
    <row r="40" spans="1:6" x14ac:dyDescent="0.25">
      <c r="A40" s="8" t="s">
        <v>33</v>
      </c>
      <c r="B40" s="37"/>
      <c r="C40" s="9">
        <f>100%/(100%+(Settings!$B$1 * 100)%) *B40</f>
        <v>0</v>
      </c>
      <c r="D40" s="9">
        <f t="shared" si="2"/>
        <v>0</v>
      </c>
      <c r="E40" s="13"/>
      <c r="F40" s="12"/>
    </row>
    <row r="41" spans="1:6" x14ac:dyDescent="0.25">
      <c r="A41" s="8" t="s">
        <v>34</v>
      </c>
      <c r="B41" s="37"/>
      <c r="C41" s="9">
        <f>100%/(100%+(Settings!$B$1 * 100)%) *B41</f>
        <v>0</v>
      </c>
      <c r="D41" s="9">
        <f t="shared" si="2"/>
        <v>0</v>
      </c>
      <c r="E41" s="13"/>
      <c r="F41" s="12"/>
    </row>
    <row r="42" spans="1:6" x14ac:dyDescent="0.25">
      <c r="A42" s="8" t="s">
        <v>35</v>
      </c>
      <c r="B42" s="37"/>
      <c r="C42" s="9">
        <f>100%/(100%+(Settings!$B$1 * 100)%) *B42</f>
        <v>0</v>
      </c>
      <c r="D42" s="9">
        <f t="shared" si="2"/>
        <v>0</v>
      </c>
      <c r="E42" s="13"/>
      <c r="F42" s="12"/>
    </row>
    <row r="43" spans="1:6" x14ac:dyDescent="0.25">
      <c r="A43" s="8" t="s">
        <v>36</v>
      </c>
      <c r="B43" s="37"/>
      <c r="C43" s="9">
        <f>100%/(100%+(Settings!$B$1 * 100)%) *B43</f>
        <v>0</v>
      </c>
      <c r="D43" s="9">
        <f t="shared" si="2"/>
        <v>0</v>
      </c>
      <c r="E43" s="13"/>
      <c r="F43" s="12"/>
    </row>
    <row r="44" spans="1:6" x14ac:dyDescent="0.25">
      <c r="A44" s="8" t="s">
        <v>37</v>
      </c>
      <c r="B44" s="37"/>
      <c r="C44" s="9">
        <f>100%/(100%+(Settings!$B$1 * 100)%) *B44</f>
        <v>0</v>
      </c>
      <c r="D44" s="9">
        <f t="shared" si="2"/>
        <v>0</v>
      </c>
      <c r="E44" s="13"/>
      <c r="F44" s="12"/>
    </row>
    <row r="45" spans="1:6" x14ac:dyDescent="0.25">
      <c r="A45" s="8" t="s">
        <v>38</v>
      </c>
      <c r="B45" s="37"/>
      <c r="C45" s="9">
        <f>100%/(100%+(Settings!$B$1 * 100)%) *B45</f>
        <v>0</v>
      </c>
      <c r="D45" s="9">
        <f t="shared" si="2"/>
        <v>0</v>
      </c>
      <c r="E45" s="13"/>
      <c r="F45" s="14"/>
    </row>
    <row r="46" spans="1:6" x14ac:dyDescent="0.25">
      <c r="A46" s="8" t="s">
        <v>39</v>
      </c>
      <c r="B46" s="37"/>
      <c r="C46" s="9">
        <f>100%/(100%+(Settings!$B$1 * 100)%) *B46</f>
        <v>0</v>
      </c>
      <c r="D46" s="9">
        <f t="shared" si="2"/>
        <v>0</v>
      </c>
      <c r="E46" s="13"/>
      <c r="F46" s="14"/>
    </row>
    <row r="47" spans="1:6" ht="18.75" customHeight="1" x14ac:dyDescent="0.25">
      <c r="A47" s="8" t="s">
        <v>40</v>
      </c>
      <c r="B47" s="37"/>
      <c r="C47" s="9">
        <f>100%/(100%+(Settings!$B$1 * 100)%) *B47</f>
        <v>0</v>
      </c>
      <c r="D47" s="9">
        <f t="shared" si="2"/>
        <v>0</v>
      </c>
      <c r="E47" s="13"/>
      <c r="F47" s="14"/>
    </row>
    <row r="48" spans="1:6" ht="25.5" customHeight="1" x14ac:dyDescent="0.35">
      <c r="A48" s="29" t="s">
        <v>44</v>
      </c>
      <c r="B48" s="30">
        <f>SUM(B38:B47)</f>
        <v>0</v>
      </c>
      <c r="C48" s="30">
        <f>SUM(C38:C47)</f>
        <v>0</v>
      </c>
      <c r="D48" s="30">
        <f>SUM(D38:D47)</f>
        <v>0</v>
      </c>
      <c r="E48" s="31"/>
      <c r="F48" s="32"/>
    </row>
    <row r="49" spans="1:7" ht="18.75" customHeight="1" x14ac:dyDescent="0.25">
      <c r="A49" s="51" t="s">
        <v>50</v>
      </c>
      <c r="B49" s="47"/>
      <c r="C49" s="52" t="s">
        <v>54</v>
      </c>
      <c r="D49" s="53" t="s">
        <v>0</v>
      </c>
      <c r="E49" s="48"/>
      <c r="F49" s="49"/>
    </row>
    <row r="50" spans="1:7" ht="18.75" customHeight="1" x14ac:dyDescent="0.25">
      <c r="A50" s="50" t="s">
        <v>51</v>
      </c>
      <c r="B50" s="43"/>
      <c r="C50" s="44">
        <f>100%/(100%+(Settings!B1 * 100)%) * B50</f>
        <v>0</v>
      </c>
      <c r="D50" s="56">
        <f>B50 - C50</f>
        <v>0</v>
      </c>
      <c r="E50" s="45"/>
      <c r="F50" s="46"/>
    </row>
    <row r="51" spans="1:7" ht="30.75" customHeight="1" x14ac:dyDescent="0.35">
      <c r="A51" s="33" t="s">
        <v>45</v>
      </c>
      <c r="B51" s="68">
        <f xml:space="preserve"> C25+C36+C48</f>
        <v>0</v>
      </c>
      <c r="C51" s="68"/>
      <c r="D51" s="68"/>
      <c r="E51" s="68"/>
      <c r="F51" s="68"/>
    </row>
    <row r="52" spans="1:7" ht="25.5" customHeight="1" x14ac:dyDescent="0.35">
      <c r="A52" s="33" t="s">
        <v>46</v>
      </c>
      <c r="B52" s="68">
        <f xml:space="preserve"> D25+D36+D48</f>
        <v>0</v>
      </c>
      <c r="C52" s="68"/>
      <c r="D52" s="68"/>
      <c r="E52" s="68"/>
      <c r="F52" s="68"/>
    </row>
    <row r="53" spans="1:7" ht="25.5" customHeight="1" x14ac:dyDescent="0.35">
      <c r="A53" s="33" t="s">
        <v>47</v>
      </c>
      <c r="B53" s="68">
        <f xml:space="preserve"> B48+B36+B25</f>
        <v>0</v>
      </c>
      <c r="C53" s="68"/>
      <c r="D53" s="68"/>
      <c r="E53" s="68"/>
      <c r="F53" s="68"/>
    </row>
    <row r="54" spans="1:7" ht="25.5" customHeight="1" x14ac:dyDescent="0.35">
      <c r="A54" s="55" t="s">
        <v>53</v>
      </c>
      <c r="B54" s="66">
        <f>B50-B53</f>
        <v>0</v>
      </c>
      <c r="C54" s="66"/>
      <c r="D54" s="66"/>
      <c r="E54" s="66"/>
      <c r="F54" s="66"/>
    </row>
    <row r="55" spans="1:7" ht="28.5" customHeight="1" x14ac:dyDescent="0.25">
      <c r="A55" s="57" t="s">
        <v>52</v>
      </c>
      <c r="B55" s="67">
        <f>C50-B53</f>
        <v>0</v>
      </c>
      <c r="C55" s="67"/>
      <c r="D55" s="67"/>
      <c r="E55" s="67"/>
      <c r="F55" s="67"/>
      <c r="G55">
        <f>F55-E55</f>
        <v>0</v>
      </c>
    </row>
    <row r="56" spans="1:7" ht="31.5" customHeight="1" x14ac:dyDescent="0.35">
      <c r="A56" s="58"/>
      <c r="B56" s="54"/>
    </row>
  </sheetData>
  <mergeCells count="5">
    <mergeCell ref="B51:F51"/>
    <mergeCell ref="B52:F52"/>
    <mergeCell ref="B53:F53"/>
    <mergeCell ref="B54:F54"/>
    <mergeCell ref="B55:F55"/>
  </mergeCells>
  <dataValidations count="2">
    <dataValidation type="whole" allowBlank="1" showInputMessage="1" showErrorMessage="1" sqref="B2" xr:uid="{F2FDDA48-8FEF-4D1A-80E7-908DA7197B92}">
      <formula1>1</formula1>
      <formula2>12</formula2>
    </dataValidation>
    <dataValidation type="whole" allowBlank="1" showInputMessage="1" showErrorMessage="1" sqref="A2" xr:uid="{727C8F1A-A36D-4AEF-ACC2-DEB86CAA6008}">
      <formula1>1900</formula1>
      <formula2>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Settings</vt:lpstr>
      <vt:lpstr>Main</vt:lpstr>
      <vt:lpstr>2022-2</vt:lpstr>
      <vt:lpstr>2022-1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atilla</dc:creator>
  <cp:lastModifiedBy>atilla</cp:lastModifiedBy>
  <dcterms:created xsi:type="dcterms:W3CDTF">2022-07-04T14:38:13Z</dcterms:created>
  <dcterms:modified xsi:type="dcterms:W3CDTF">2022-07-27T13:37:47Z</dcterms:modified>
</cp:coreProperties>
</file>